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140140\Dropbox\_GRMS Filtering Table\"/>
    </mc:Choice>
  </mc:AlternateContent>
  <bookViews>
    <workbookView xWindow="0" yWindow="0" windowWidth="20730" windowHeight="11760" firstSheet="1" activeTab="1"/>
  </bookViews>
  <sheets>
    <sheet name="Layout" sheetId="2" state="hidden" r:id="rId1"/>
    <sheet name="Configuration" sheetId="3" r:id="rId2"/>
    <sheet name="Ref" sheetId="4" r:id="rId3"/>
  </sheets>
  <functionGroups builtInGroupCount="18"/>
  <definedNames>
    <definedName name="Area_per_Room">Configuration!$N$8</definedName>
    <definedName name="Average_Number_of_Room_per_Floor">Configuration!$N$6</definedName>
    <definedName name="DipSwitch_per_Room">Ref!$C$9</definedName>
    <definedName name="DipSwith_Starting_number">Ref!$C$8</definedName>
    <definedName name="Do_Not_Show_Welcome_Info">Ref!$C$12</definedName>
    <definedName name="Floor_Offset_Difference">Configuration!$N$4</definedName>
    <definedName name="Floor_Template">Configuration!$B$3:$H$6</definedName>
    <definedName name="Max_Area_Number_per_Building">Ref!$C$10</definedName>
    <definedName name="Max_Room_Number_per_Floor">Configuration!$N$7</definedName>
    <definedName name="Number_of_Floor">Configuration!$N$3</definedName>
    <definedName name="Required_Biggest_Area_Number">Ref!$C$11</definedName>
    <definedName name="Room_Starting_Number">Configuration!$N$5</definedName>
    <definedName name="Room_Template">Configuration!$H$3:$H$6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9" i="4" l="1"/>
  <c r="O19" i="4" s="1"/>
  <c r="Q50" i="2" l="1"/>
  <c r="P50" i="2"/>
  <c r="O50" i="2"/>
  <c r="N50" i="2"/>
  <c r="M50" i="2"/>
  <c r="L50" i="2"/>
  <c r="K50" i="2"/>
  <c r="J50" i="2"/>
  <c r="I50" i="2"/>
  <c r="H50" i="2"/>
  <c r="Q49" i="2"/>
  <c r="P49" i="2"/>
  <c r="O49" i="2"/>
  <c r="N49" i="2"/>
  <c r="M49" i="2"/>
  <c r="L49" i="2"/>
  <c r="K49" i="2"/>
  <c r="J49" i="2"/>
  <c r="I49" i="2"/>
  <c r="H49" i="2"/>
  <c r="Q48" i="2"/>
  <c r="P48" i="2"/>
  <c r="M48" i="2"/>
  <c r="L48" i="2"/>
  <c r="I48" i="2"/>
  <c r="H48" i="2"/>
  <c r="D48" i="2"/>
  <c r="Q51" i="2" s="1"/>
  <c r="B48" i="2"/>
  <c r="O48" i="2" s="1"/>
  <c r="Q45" i="2"/>
  <c r="P45" i="2"/>
  <c r="O45" i="2"/>
  <c r="N45" i="2"/>
  <c r="M45" i="2"/>
  <c r="L45" i="2"/>
  <c r="K45" i="2"/>
  <c r="J45" i="2"/>
  <c r="I45" i="2"/>
  <c r="H45" i="2"/>
  <c r="Q44" i="2"/>
  <c r="P44" i="2"/>
  <c r="O44" i="2"/>
  <c r="N44" i="2"/>
  <c r="M44" i="2"/>
  <c r="L44" i="2"/>
  <c r="K44" i="2"/>
  <c r="J44" i="2"/>
  <c r="I44" i="2"/>
  <c r="H44" i="2"/>
  <c r="Q43" i="2"/>
  <c r="P43" i="2"/>
  <c r="M43" i="2"/>
  <c r="L43" i="2"/>
  <c r="I43" i="2"/>
  <c r="H43" i="2"/>
  <c r="D43" i="2"/>
  <c r="Q46" i="2" s="1"/>
  <c r="B43" i="2"/>
  <c r="O43" i="2" s="1"/>
  <c r="Q40" i="2"/>
  <c r="P40" i="2"/>
  <c r="O40" i="2"/>
  <c r="N40" i="2"/>
  <c r="M40" i="2"/>
  <c r="L40" i="2"/>
  <c r="K40" i="2"/>
  <c r="J40" i="2"/>
  <c r="I40" i="2"/>
  <c r="H40" i="2"/>
  <c r="Q39" i="2"/>
  <c r="P39" i="2"/>
  <c r="O39" i="2"/>
  <c r="O38" i="2" s="1"/>
  <c r="N39" i="2"/>
  <c r="M39" i="2"/>
  <c r="L39" i="2"/>
  <c r="K39" i="2"/>
  <c r="K38" i="2" s="1"/>
  <c r="J39" i="2"/>
  <c r="I39" i="2"/>
  <c r="H39" i="2"/>
  <c r="Q38" i="2"/>
  <c r="P38" i="2"/>
  <c r="M38" i="2"/>
  <c r="L38" i="2"/>
  <c r="I38" i="2"/>
  <c r="H38" i="2"/>
  <c r="D38" i="2"/>
  <c r="Q41" i="2" s="1"/>
  <c r="B38" i="2"/>
  <c r="N38" i="2" s="1"/>
  <c r="P36" i="2"/>
  <c r="O36" i="2"/>
  <c r="L36" i="2"/>
  <c r="K36" i="2"/>
  <c r="H36" i="2"/>
  <c r="Q35" i="2"/>
  <c r="P35" i="2"/>
  <c r="O35" i="2"/>
  <c r="N35" i="2"/>
  <c r="M35" i="2"/>
  <c r="L35" i="2"/>
  <c r="K35" i="2"/>
  <c r="J35" i="2"/>
  <c r="I35" i="2"/>
  <c r="H35" i="2"/>
  <c r="Q34" i="2"/>
  <c r="P34" i="2"/>
  <c r="O34" i="2"/>
  <c r="N34" i="2"/>
  <c r="M34" i="2"/>
  <c r="L34" i="2"/>
  <c r="K34" i="2"/>
  <c r="J34" i="2"/>
  <c r="I34" i="2"/>
  <c r="H34" i="2"/>
  <c r="Q33" i="2"/>
  <c r="M33" i="2"/>
  <c r="I33" i="2"/>
  <c r="D33" i="2"/>
  <c r="Q36" i="2" s="1"/>
  <c r="B33" i="2"/>
  <c r="O33" i="2" s="1"/>
  <c r="Q30" i="2"/>
  <c r="P30" i="2"/>
  <c r="O30" i="2"/>
  <c r="N30" i="2"/>
  <c r="M30" i="2"/>
  <c r="L30" i="2"/>
  <c r="K30" i="2"/>
  <c r="J30" i="2"/>
  <c r="I30" i="2"/>
  <c r="H30" i="2"/>
  <c r="Q29" i="2"/>
  <c r="Q28" i="2" s="1"/>
  <c r="P29" i="2"/>
  <c r="O29" i="2"/>
  <c r="N29" i="2"/>
  <c r="M29" i="2"/>
  <c r="M28" i="2" s="1"/>
  <c r="L29" i="2"/>
  <c r="K29" i="2"/>
  <c r="J29" i="2"/>
  <c r="I29" i="2"/>
  <c r="I28" i="2" s="1"/>
  <c r="H29" i="2"/>
  <c r="P28" i="2"/>
  <c r="O28" i="2"/>
  <c r="L28" i="2"/>
  <c r="K28" i="2"/>
  <c r="H28" i="2"/>
  <c r="D28" i="2"/>
  <c r="P31" i="2" s="1"/>
  <c r="B28" i="2"/>
  <c r="N28" i="2" s="1"/>
  <c r="Q25" i="2"/>
  <c r="P25" i="2"/>
  <c r="O25" i="2"/>
  <c r="N25" i="2"/>
  <c r="M25" i="2"/>
  <c r="L25" i="2"/>
  <c r="K25" i="2"/>
  <c r="J25" i="2"/>
  <c r="I25" i="2"/>
  <c r="H25" i="2"/>
  <c r="Q24" i="2"/>
  <c r="Q23" i="2" s="1"/>
  <c r="P24" i="2"/>
  <c r="O24" i="2"/>
  <c r="N24" i="2"/>
  <c r="M24" i="2"/>
  <c r="M23" i="2" s="1"/>
  <c r="L24" i="2"/>
  <c r="K24" i="2"/>
  <c r="J24" i="2"/>
  <c r="I24" i="2"/>
  <c r="I23" i="2" s="1"/>
  <c r="H24" i="2"/>
  <c r="P23" i="2"/>
  <c r="O23" i="2"/>
  <c r="L23" i="2"/>
  <c r="K23" i="2"/>
  <c r="H23" i="2"/>
  <c r="D23" i="2"/>
  <c r="P26" i="2" s="1"/>
  <c r="B23" i="2"/>
  <c r="N23" i="2" s="1"/>
  <c r="O21" i="2"/>
  <c r="N21" i="2"/>
  <c r="K21" i="2"/>
  <c r="J21" i="2"/>
  <c r="Q20" i="2"/>
  <c r="P20" i="2"/>
  <c r="O20" i="2"/>
  <c r="N20" i="2"/>
  <c r="M20" i="2"/>
  <c r="L20" i="2"/>
  <c r="K20" i="2"/>
  <c r="J20" i="2"/>
  <c r="I20" i="2"/>
  <c r="H20" i="2"/>
  <c r="Q19" i="2"/>
  <c r="P19" i="2"/>
  <c r="O19" i="2"/>
  <c r="N19" i="2"/>
  <c r="M19" i="2"/>
  <c r="L19" i="2"/>
  <c r="K19" i="2"/>
  <c r="J19" i="2"/>
  <c r="I19" i="2"/>
  <c r="H19" i="2"/>
  <c r="Q18" i="2"/>
  <c r="P18" i="2"/>
  <c r="M18" i="2"/>
  <c r="L18" i="2"/>
  <c r="I18" i="2"/>
  <c r="H18" i="2"/>
  <c r="D18" i="2"/>
  <c r="Q21" i="2" s="1"/>
  <c r="B18" i="2"/>
  <c r="O18" i="2" s="1"/>
  <c r="P16" i="2"/>
  <c r="L16" i="2"/>
  <c r="H16" i="2"/>
  <c r="Q15" i="2"/>
  <c r="P15" i="2"/>
  <c r="O15" i="2"/>
  <c r="N15" i="2"/>
  <c r="M15" i="2"/>
  <c r="L15" i="2"/>
  <c r="K15" i="2"/>
  <c r="J15" i="2"/>
  <c r="I15" i="2"/>
  <c r="H15" i="2"/>
  <c r="Q14" i="2"/>
  <c r="P14" i="2"/>
  <c r="O14" i="2"/>
  <c r="N14" i="2"/>
  <c r="M14" i="2"/>
  <c r="L14" i="2"/>
  <c r="K14" i="2"/>
  <c r="J14" i="2"/>
  <c r="I14" i="2"/>
  <c r="H14" i="2"/>
  <c r="D13" i="2"/>
  <c r="O16" i="2" s="1"/>
  <c r="B13" i="2"/>
  <c r="Q13" i="2" s="1"/>
  <c r="O11" i="2"/>
  <c r="K11" i="2"/>
  <c r="Q10" i="2"/>
  <c r="P10" i="2"/>
  <c r="O10" i="2"/>
  <c r="N10" i="2"/>
  <c r="M10" i="2"/>
  <c r="L10" i="2"/>
  <c r="K10" i="2"/>
  <c r="J10" i="2"/>
  <c r="I10" i="2"/>
  <c r="H10" i="2"/>
  <c r="Q9" i="2"/>
  <c r="P9" i="2"/>
  <c r="O9" i="2"/>
  <c r="N9" i="2"/>
  <c r="M9" i="2"/>
  <c r="L9" i="2"/>
  <c r="K9" i="2"/>
  <c r="J9" i="2"/>
  <c r="I9" i="2"/>
  <c r="H9" i="2"/>
  <c r="Q8" i="2"/>
  <c r="P8" i="2"/>
  <c r="M8" i="2"/>
  <c r="L8" i="2"/>
  <c r="I8" i="2"/>
  <c r="H8" i="2"/>
  <c r="D8" i="2"/>
  <c r="Q11" i="2" s="1"/>
  <c r="B8" i="2"/>
  <c r="O8" i="2" s="1"/>
  <c r="Q4" i="2"/>
  <c r="P4" i="2"/>
  <c r="O4" i="2"/>
  <c r="O5" i="2" s="1"/>
  <c r="N5" i="2"/>
  <c r="N4" i="2"/>
  <c r="M4" i="2"/>
  <c r="L4" i="2"/>
  <c r="K4" i="2"/>
  <c r="J4" i="2"/>
  <c r="I4" i="2"/>
  <c r="H4" i="2"/>
  <c r="D3" i="2"/>
  <c r="N6" i="2" s="1"/>
  <c r="B3" i="2"/>
  <c r="M3" i="2" s="1"/>
  <c r="J51" i="2" l="1"/>
  <c r="N51" i="2"/>
  <c r="K51" i="2"/>
  <c r="O51" i="2"/>
  <c r="J48" i="2"/>
  <c r="N48" i="2"/>
  <c r="H51" i="2"/>
  <c r="L51" i="2"/>
  <c r="P51" i="2"/>
  <c r="K48" i="2"/>
  <c r="I51" i="2"/>
  <c r="M51" i="2"/>
  <c r="J46" i="2"/>
  <c r="N46" i="2"/>
  <c r="K46" i="2"/>
  <c r="O46" i="2"/>
  <c r="J43" i="2"/>
  <c r="N43" i="2"/>
  <c r="H46" i="2"/>
  <c r="L46" i="2"/>
  <c r="P46" i="2"/>
  <c r="K43" i="2"/>
  <c r="I46" i="2"/>
  <c r="M46" i="2"/>
  <c r="J41" i="2"/>
  <c r="N41" i="2"/>
  <c r="K41" i="2"/>
  <c r="O41" i="2"/>
  <c r="J38" i="2"/>
  <c r="H41" i="2"/>
  <c r="L41" i="2"/>
  <c r="P41" i="2"/>
  <c r="I41" i="2"/>
  <c r="M41" i="2"/>
  <c r="J33" i="2"/>
  <c r="N33" i="2"/>
  <c r="H33" i="2"/>
  <c r="L33" i="2"/>
  <c r="P33" i="2"/>
  <c r="J36" i="2"/>
  <c r="N36" i="2"/>
  <c r="K33" i="2"/>
  <c r="I36" i="2"/>
  <c r="M36" i="2"/>
  <c r="I31" i="2"/>
  <c r="M31" i="2"/>
  <c r="Q31" i="2"/>
  <c r="J31" i="2"/>
  <c r="N31" i="2"/>
  <c r="K31" i="2"/>
  <c r="O31" i="2"/>
  <c r="J28" i="2"/>
  <c r="H31" i="2"/>
  <c r="L31" i="2"/>
  <c r="J26" i="2"/>
  <c r="K26" i="2"/>
  <c r="O26" i="2"/>
  <c r="I26" i="2"/>
  <c r="M26" i="2"/>
  <c r="Q26" i="2"/>
  <c r="N26" i="2"/>
  <c r="J23" i="2"/>
  <c r="H26" i="2"/>
  <c r="L26" i="2"/>
  <c r="J18" i="2"/>
  <c r="N18" i="2"/>
  <c r="H21" i="2"/>
  <c r="L21" i="2"/>
  <c r="P21" i="2"/>
  <c r="K18" i="2"/>
  <c r="I21" i="2"/>
  <c r="M21" i="2"/>
  <c r="O13" i="2"/>
  <c r="M16" i="2"/>
  <c r="H13" i="2"/>
  <c r="L13" i="2"/>
  <c r="P13" i="2"/>
  <c r="J16" i="2"/>
  <c r="N16" i="2"/>
  <c r="J13" i="2"/>
  <c r="N13" i="2"/>
  <c r="K13" i="2"/>
  <c r="I16" i="2"/>
  <c r="Q16" i="2"/>
  <c r="I13" i="2"/>
  <c r="M13" i="2"/>
  <c r="K16" i="2"/>
  <c r="J11" i="2"/>
  <c r="N11" i="2"/>
  <c r="J8" i="2"/>
  <c r="N8" i="2"/>
  <c r="H11" i="2"/>
  <c r="L11" i="2"/>
  <c r="P11" i="2"/>
  <c r="K8" i="2"/>
  <c r="I11" i="2"/>
  <c r="M11" i="2"/>
  <c r="I3" i="2"/>
  <c r="K6" i="2"/>
  <c r="M6" i="2"/>
  <c r="I6" i="2"/>
  <c r="L3" i="2"/>
  <c r="N3" i="2"/>
  <c r="H3" i="2"/>
  <c r="J3" i="2"/>
  <c r="L6" i="2"/>
  <c r="P6" i="2"/>
  <c r="H6" i="2"/>
  <c r="K3" i="2"/>
  <c r="Q3" i="2"/>
  <c r="Q5" i="2"/>
  <c r="Q6" i="2"/>
  <c r="P3" i="2"/>
  <c r="P5" i="2"/>
  <c r="O6" i="2"/>
  <c r="O3" i="2"/>
  <c r="M5" i="2"/>
  <c r="L5" i="2"/>
  <c r="K5" i="2"/>
  <c r="J5" i="2"/>
  <c r="J6" i="2"/>
  <c r="I5" i="2"/>
  <c r="H5" i="2"/>
  <c r="L18" i="4"/>
  <c r="O18" i="4" s="1"/>
  <c r="L17" i="4"/>
  <c r="O17" i="4" s="1"/>
  <c r="P7" i="3" l="1"/>
  <c r="L16" i="4" l="1"/>
  <c r="O16" i="4" s="1"/>
  <c r="L8" i="4" l="1"/>
  <c r="L15" i="4"/>
  <c r="O15" i="4" s="1"/>
  <c r="L14" i="4"/>
  <c r="O14" i="4" s="1"/>
  <c r="B3" i="3" l="1"/>
  <c r="H2" i="3"/>
  <c r="H4" i="3" s="1"/>
  <c r="H5" i="3" l="1"/>
  <c r="D3" i="3"/>
  <c r="H6" i="3" s="1"/>
  <c r="H3" i="3" l="1"/>
  <c r="L24" i="4"/>
  <c r="L39" i="4"/>
  <c r="O39" i="4" s="1"/>
  <c r="L38" i="4"/>
  <c r="O38" i="4" s="1"/>
  <c r="L37" i="4"/>
  <c r="O37" i="4" s="1"/>
  <c r="L36" i="4"/>
  <c r="O36" i="4" s="1"/>
  <c r="L35" i="4"/>
  <c r="O35" i="4" s="1"/>
  <c r="L34" i="4"/>
  <c r="O34" i="4" s="1"/>
  <c r="L33" i="4"/>
  <c r="O33" i="4" s="1"/>
  <c r="L32" i="4"/>
  <c r="O32" i="4" s="1"/>
  <c r="L31" i="4"/>
  <c r="O31" i="4" s="1"/>
  <c r="L30" i="4"/>
  <c r="O30" i="4" s="1"/>
  <c r="L29" i="4"/>
  <c r="O29" i="4" s="1"/>
  <c r="L28" i="4"/>
  <c r="O28" i="4" s="1"/>
  <c r="L27" i="4"/>
  <c r="O27" i="4" s="1"/>
  <c r="L26" i="4"/>
  <c r="O26" i="4" s="1"/>
  <c r="L25" i="4"/>
  <c r="O25" i="4" s="1"/>
  <c r="L13" i="4"/>
  <c r="O13" i="4" s="1"/>
  <c r="L12" i="4"/>
  <c r="O12" i="4" s="1"/>
  <c r="L11" i="4"/>
  <c r="O11" i="4" s="1"/>
  <c r="L10" i="4"/>
  <c r="O10" i="4" s="1"/>
  <c r="L9" i="4"/>
  <c r="O9" i="4" s="1"/>
</calcChain>
</file>

<file path=xl/sharedStrings.xml><?xml version="1.0" encoding="utf-8"?>
<sst xmlns="http://schemas.openxmlformats.org/spreadsheetml/2006/main" count="287" uniqueCount="60">
  <si>
    <t>Floor</t>
  </si>
  <si>
    <t>Dip Switch</t>
  </si>
  <si>
    <t>Area Range</t>
  </si>
  <si>
    <t>Area Range with Offset</t>
  </si>
  <si>
    <t>GRMS Rm#</t>
  </si>
  <si>
    <t>Parameters</t>
  </si>
  <si>
    <t>EG Offset</t>
  </si>
  <si>
    <t>Room Address &amp; Area Range</t>
  </si>
  <si>
    <t>Number_of_Floor</t>
  </si>
  <si>
    <t>Area_per_Room</t>
  </si>
  <si>
    <t>DipSwitch_per_Room</t>
  </si>
  <si>
    <t>Floor_Offset_Difference</t>
  </si>
  <si>
    <t>Room_Starting_Number</t>
  </si>
  <si>
    <t>DipSwith_Starting_number</t>
  </si>
  <si>
    <t>Average_Number_of_Room_per_Floor</t>
  </si>
  <si>
    <t>Public</t>
  </si>
  <si>
    <t>As</t>
  </si>
  <si>
    <t>String</t>
  </si>
  <si>
    <t>=</t>
  </si>
  <si>
    <t xml:space="preserve">Range(" </t>
  </si>
  <si>
    <t>").Value</t>
  </si>
  <si>
    <t>Double</t>
  </si>
  <si>
    <t>Integer</t>
  </si>
  <si>
    <t xml:space="preserve">per_MCU_rs485_cable_length </t>
  </si>
  <si>
    <t>per_repeater_rs485_cable_length</t>
  </si>
  <si>
    <t>max_dali_cable_length</t>
  </si>
  <si>
    <t>max_driver_per_DGG</t>
  </si>
  <si>
    <t>max_order_dali_cable_length</t>
  </si>
  <si>
    <t>max_order_rs485_cable_length</t>
  </si>
  <si>
    <t>max_DGG_per_MCU</t>
  </si>
  <si>
    <t>max_photometer_per_MCU</t>
  </si>
  <si>
    <t>MCU_in_use</t>
  </si>
  <si>
    <t>Control_groups_in_use</t>
  </si>
  <si>
    <t>DGG_looping_rs485_length</t>
  </si>
  <si>
    <t>cable_roundup_resolution</t>
  </si>
  <si>
    <t>rs485_cable_order_method</t>
  </si>
  <si>
    <t>dali_cable_order_method</t>
  </si>
  <si>
    <t>MCU_DGG_rs485_network_in_use</t>
  </si>
  <si>
    <t>End Sub</t>
  </si>
  <si>
    <t>'SheetRef</t>
  </si>
  <si>
    <t>'</t>
  </si>
  <si>
    <t>Floor_ref</t>
  </si>
  <si>
    <t xml:space="preserve">Step 1: </t>
  </si>
  <si>
    <t>Step 2:</t>
  </si>
  <si>
    <t xml:space="preserve">Format the template as below (please do not move the cells): </t>
  </si>
  <si>
    <t>'SheetConfiguration</t>
  </si>
  <si>
    <t>Sub public_variable_define()</t>
  </si>
  <si>
    <t>Step 3:</t>
  </si>
  <si>
    <t>Max_Room_Number_per_Floor</t>
  </si>
  <si>
    <t>Configure the parameters values highlighted with pink background only</t>
  </si>
  <si>
    <t>System Configuration</t>
  </si>
  <si>
    <t>Max_Area_Number_per_Building</t>
  </si>
  <si>
    <t>Required_Biggest_Area_Number</t>
  </si>
  <si>
    <t>Long</t>
  </si>
  <si>
    <t>Parameter</t>
  </si>
  <si>
    <t>Value</t>
  </si>
  <si>
    <t>System tips &amp;</t>
  </si>
  <si>
    <t>notes</t>
  </si>
  <si>
    <t>Do_Not_Show_Welcome_Info</t>
  </si>
  <si>
    <t>Boolean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</si>
</sst>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8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gradientFill degree="45">
        <stop position="0">
          <color theme="7"/>
        </stop>
        <stop position="1">
          <color theme="7" tint="-0.49803155613879818"/>
        </stop>
      </gradientFill>
    </fill>
    <fill>
      <gradientFill degree="45">
        <stop position="0">
          <color theme="7" tint="-0.49803155613879818"/>
        </stop>
        <stop position="1">
          <color rgb="FFFFFF00"/>
        </stop>
      </gradientFill>
    </fill>
    <fill>
      <gradientFill degree="45">
        <stop position="0">
          <color rgb="FFFFFF00"/>
        </stop>
        <stop position="1">
          <color theme="7" tint="-0.49803155613879818"/>
        </stop>
      </gradientFill>
    </fill>
    <fill>
      <gradientFill degree="45">
        <stop position="0">
          <color rgb="FFFFC000"/>
        </stop>
        <stop position="1">
          <color rgb="FFFFFF00"/>
        </stop>
      </gradient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4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quotePrefix="1" applyFill="1"/>
    <xf numFmtId="0" fontId="0" fillId="0" borderId="0" xfId="0" quotePrefix="1"/>
    <xf numFmtId="0" fontId="3" fillId="0" borderId="0" xfId="0" applyFont="1" applyFill="1" applyAlignment="1">
      <alignment horizontal="center" vertical="center"/>
    </xf>
    <xf numFmtId="0" fontId="8" fillId="6" borderId="1" xfId="0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4" xfId="0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4" xfId="0" applyFont="1" applyBorder="1"/>
    <xf numFmtId="0" fontId="11" fillId="0" borderId="4" xfId="0" applyFont="1" applyFill="1" applyBorder="1"/>
    <xf numFmtId="0" fontId="9" fillId="0" borderId="4" xfId="0" applyFont="1" applyBorder="1"/>
    <xf numFmtId="0" fontId="9" fillId="0" borderId="0" xfId="0" applyFont="1" applyBorder="1"/>
    <xf numFmtId="0" fontId="9" fillId="0" borderId="5" xfId="0" applyFont="1" applyBorder="1"/>
    <xf numFmtId="0" fontId="9" fillId="0" borderId="0" xfId="0" applyFont="1"/>
    <xf numFmtId="0" fontId="9" fillId="0" borderId="4" xfId="0" applyFont="1" applyBorder="1" applyAlignment="1">
      <alignment horizontal="center" vertical="center"/>
    </xf>
    <xf numFmtId="0" fontId="0" fillId="0" borderId="1" xfId="0" applyBorder="1"/>
    <xf numFmtId="0" fontId="0" fillId="0" borderId="0" xfId="0" applyFill="1" applyBorder="1"/>
    <xf numFmtId="0" fontId="0" fillId="0" borderId="5" xfId="0" applyFill="1" applyBorder="1"/>
    <xf numFmtId="0" fontId="0" fillId="0" borderId="4" xfId="0" applyFill="1" applyBorder="1"/>
    <xf numFmtId="0" fontId="0" fillId="0" borderId="0" xfId="0" quotePrefix="1" applyFill="1" applyBorder="1"/>
    <xf numFmtId="0" fontId="7" fillId="0" borderId="7" xfId="0" applyFont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9" xfId="0" applyFont="1" applyBorder="1" applyAlignment="1">
      <alignment horizontal="left" vertical="center"/>
    </xf>
    <xf numFmtId="0" fontId="13" fillId="7" borderId="9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left" vertical="center"/>
    </xf>
    <xf numFmtId="0" fontId="0" fillId="7" borderId="9" xfId="0" applyFill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1" fillId="0" borderId="5" xfId="0" applyFont="1" applyBorder="1"/>
    <xf numFmtId="0" fontId="0" fillId="0" borderId="0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0" fontId="1" fillId="0" borderId="8" xfId="0" applyFont="1" applyBorder="1"/>
    <xf numFmtId="0" fontId="7" fillId="0" borderId="0" xfId="0" applyFont="1" applyFill="1" applyBorder="1" applyAlignment="1">
      <alignment horizontal="left" vertical="center"/>
    </xf>
    <xf numFmtId="43" fontId="0" fillId="0" borderId="0" xfId="1" applyFont="1" applyAlignment="1">
      <alignment horizontal="center" vertical="center"/>
    </xf>
    <xf numFmtId="43" fontId="0" fillId="0" borderId="0" xfId="1" applyFont="1" applyAlignment="1">
      <alignment wrapText="1"/>
    </xf>
    <xf numFmtId="0" fontId="1" fillId="0" borderId="0" xfId="0" applyFont="1" applyBorder="1" applyAlignment="1">
      <alignment horizontal="center" vertical="center"/>
    </xf>
    <xf numFmtId="0" fontId="8" fillId="0" borderId="4" xfId="0" applyFont="1" applyFill="1" applyBorder="1"/>
    <xf numFmtId="0" fontId="15" fillId="0" borderId="9" xfId="0" applyFont="1" applyBorder="1"/>
    <xf numFmtId="0" fontId="7" fillId="0" borderId="9" xfId="0" applyFont="1" applyBorder="1" applyAlignment="1">
      <alignment horizontal="right"/>
    </xf>
    <xf numFmtId="0" fontId="7" fillId="0" borderId="10" xfId="0" applyFont="1" applyBorder="1"/>
    <xf numFmtId="0" fontId="4" fillId="3" borderId="0" xfId="0" applyFont="1" applyFill="1" applyBorder="1" applyAlignment="1">
      <alignment horizontal="center" vertical="center" wrapText="1"/>
    </xf>
    <xf numFmtId="0" fontId="10" fillId="3" borderId="0" xfId="0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10</xdr:row>
          <xdr:rowOff>28575</xdr:rowOff>
        </xdr:from>
        <xdr:to>
          <xdr:col>5</xdr:col>
          <xdr:colOff>228600</xdr:colOff>
          <xdr:row>13</xdr:row>
          <xdr:rowOff>28575</xdr:rowOff>
        </xdr:to>
        <xdr:sp macro="" textlink="">
          <xdr:nvSpPr>
            <xdr:cNvPr id="3073" name="Run_Layout_process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Layout"/>
  <dimension ref="A1:AM52"/>
  <sheetViews>
    <sheetView zoomScale="115" zoomScaleNormal="115" workbookViewId="0"/>
  </sheetViews>
  <sheetFormatPr defaultColWidth="9.140625" defaultRowHeight="15" customHeight="1" x14ac:dyDescent="0.25"/>
  <cols>
    <col min="1" max="1" width="1.7109375" style="25" customWidth="1"/>
    <col min="2" max="2" width="7.140625" style="1" bestFit="1" customWidth="1"/>
    <col min="3" max="3" width="1" style="1" customWidth="1"/>
    <col min="4" max="4" width="12" style="1" bestFit="1" customWidth="1"/>
    <col min="5" max="5" width="1" style="1" customWidth="1"/>
    <col min="6" max="6" width="21.85546875" style="1" bestFit="1" customWidth="1"/>
    <col min="7" max="7" width="1" style="1" customWidth="1"/>
    <col min="8" max="17" width="13" style="1" bestFit="1" customWidth="1"/>
    <col min="18" max="20" width="3.42578125" style="1" bestFit="1" customWidth="1"/>
    <col min="21" max="52" width="13" style="1" bestFit="1" customWidth="1"/>
    <col min="53" max="53" width="3.42578125" style="1" bestFit="1" customWidth="1"/>
    <col min="54" max="56" width="13" style="1" bestFit="1" customWidth="1"/>
    <col min="57" max="57" width="3.42578125" style="1" bestFit="1" customWidth="1"/>
    <col min="58" max="107" width="3" style="1" bestFit="1" customWidth="1"/>
    <col min="108" max="108" width="4" style="1" bestFit="1" customWidth="1"/>
    <col min="109" max="1007" width="3.85546875" style="1" bestFit="1" customWidth="1"/>
    <col min="1008" max="1008" width="4.85546875" style="1" bestFit="1" customWidth="1"/>
    <col min="1009" max="16384" width="9.140625" style="1"/>
  </cols>
  <sheetData>
    <row r="1" spans="1:39" ht="15" customHeight="1" x14ac:dyDescent="0.25">
      <c r="A1" s="25" t="s">
        <v>41</v>
      </c>
      <c r="B1" s="2" t="s">
        <v>0</v>
      </c>
      <c r="D1" s="2" t="s">
        <v>6</v>
      </c>
      <c r="F1" s="2" t="s">
        <v>5</v>
      </c>
      <c r="H1" s="63" t="s">
        <v>7</v>
      </c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</row>
    <row r="2" spans="1:39" s="25" customFormat="1" ht="5.0999999999999996" customHeight="1" x14ac:dyDescent="0.25">
      <c r="H2" s="25">
        <v>0</v>
      </c>
      <c r="I2" s="25">
        <v>1</v>
      </c>
      <c r="J2" s="25">
        <v>2</v>
      </c>
      <c r="K2" s="25">
        <v>3</v>
      </c>
      <c r="L2" s="25">
        <v>4</v>
      </c>
      <c r="M2" s="25">
        <v>5</v>
      </c>
      <c r="N2" s="25">
        <v>6</v>
      </c>
      <c r="O2" s="25">
        <v>7</v>
      </c>
      <c r="P2" s="25">
        <v>8</v>
      </c>
      <c r="Q2" s="25">
        <v>9</v>
      </c>
      <c r="R2" s="25">
        <v>10</v>
      </c>
      <c r="S2" s="25">
        <v>11</v>
      </c>
      <c r="T2" s="25">
        <v>12</v>
      </c>
    </row>
    <row r="3" spans="1:39" ht="15" customHeight="1" x14ac:dyDescent="0.25">
      <c r="A3" s="25">
        <v>1</v>
      </c>
      <c r="B3" s="61">
        <f>A3</f>
        <v>1</v>
      </c>
      <c r="C3" s="13"/>
      <c r="D3" s="62">
        <f>Floor_Offset_Difference*A3</f>
        <v>1000</v>
      </c>
      <c r="E3" s="13"/>
      <c r="F3" s="14" t="s">
        <v>4</v>
      </c>
      <c r="G3" s="13"/>
      <c r="H3" s="15" t="str">
        <f t="shared" ref="H3:Q3" si="0">IF($A3&lt;&gt;$B3, $B3,("L" &amp;$A3))&amp;" - "&amp;"Rm"&amp;(Room_Starting_Number+H4)</f>
        <v>L1 - Rm1</v>
      </c>
      <c r="I3" s="15" t="str">
        <f t="shared" si="0"/>
        <v>L1 - Rm2</v>
      </c>
      <c r="J3" s="15" t="str">
        <f t="shared" si="0"/>
        <v>L1 - Rm3</v>
      </c>
      <c r="K3" s="15" t="str">
        <f t="shared" si="0"/>
        <v>L1 - Rm4</v>
      </c>
      <c r="L3" s="15" t="str">
        <f t="shared" si="0"/>
        <v>L1 - Rm5</v>
      </c>
      <c r="M3" s="15" t="str">
        <f t="shared" si="0"/>
        <v>L1 - Rm6</v>
      </c>
      <c r="N3" s="15" t="str">
        <f t="shared" si="0"/>
        <v>L1 - Rm7</v>
      </c>
      <c r="O3" s="15" t="str">
        <f t="shared" si="0"/>
        <v>L1 - Rm8</v>
      </c>
      <c r="P3" s="15" t="str">
        <f t="shared" si="0"/>
        <v>L1 - Rm9</v>
      </c>
      <c r="Q3" s="15" t="str">
        <f t="shared" si="0"/>
        <v>L1 - Rm10</v>
      </c>
    </row>
    <row r="4" spans="1:39" ht="15" customHeight="1" x14ac:dyDescent="0.25">
      <c r="B4" s="61"/>
      <c r="C4" s="13"/>
      <c r="D4" s="62"/>
      <c r="E4" s="13"/>
      <c r="F4" s="14" t="s">
        <v>1</v>
      </c>
      <c r="G4" s="13"/>
      <c r="H4" s="26">
        <f t="shared" ref="H4:Q4" si="1">H$2</f>
        <v>0</v>
      </c>
      <c r="I4" s="26">
        <f t="shared" si="1"/>
        <v>1</v>
      </c>
      <c r="J4" s="26">
        <f t="shared" si="1"/>
        <v>2</v>
      </c>
      <c r="K4" s="26">
        <f t="shared" si="1"/>
        <v>3</v>
      </c>
      <c r="L4" s="26">
        <f t="shared" si="1"/>
        <v>4</v>
      </c>
      <c r="M4" s="26">
        <f t="shared" si="1"/>
        <v>5</v>
      </c>
      <c r="N4" s="26">
        <f t="shared" si="1"/>
        <v>6</v>
      </c>
      <c r="O4" s="26">
        <f t="shared" si="1"/>
        <v>7</v>
      </c>
      <c r="P4" s="26">
        <f t="shared" si="1"/>
        <v>8</v>
      </c>
      <c r="Q4" s="26">
        <f t="shared" si="1"/>
        <v>9</v>
      </c>
    </row>
    <row r="5" spans="1:39" ht="15" customHeight="1" x14ac:dyDescent="0.25">
      <c r="B5" s="61"/>
      <c r="C5" s="13"/>
      <c r="D5" s="62"/>
      <c r="E5" s="13"/>
      <c r="F5" s="18" t="s">
        <v>2</v>
      </c>
      <c r="G5" s="13"/>
      <c r="H5" s="26" t="str">
        <f t="shared" ref="H5:Q5" si="2">((H$4+1)*Area_per_Room&amp;"-"&amp;((H$4+1)*Area_per_Room+(Area_per_Room-1)))</f>
        <v>20-39</v>
      </c>
      <c r="I5" s="26" t="str">
        <f t="shared" si="2"/>
        <v>40-59</v>
      </c>
      <c r="J5" s="26" t="str">
        <f t="shared" si="2"/>
        <v>60-79</v>
      </c>
      <c r="K5" s="26" t="str">
        <f t="shared" si="2"/>
        <v>80-99</v>
      </c>
      <c r="L5" s="26" t="str">
        <f t="shared" si="2"/>
        <v>100-119</v>
      </c>
      <c r="M5" s="26" t="str">
        <f t="shared" si="2"/>
        <v>120-139</v>
      </c>
      <c r="N5" s="26" t="str">
        <f t="shared" si="2"/>
        <v>140-159</v>
      </c>
      <c r="O5" s="26" t="str">
        <f t="shared" si="2"/>
        <v>160-179</v>
      </c>
      <c r="P5" s="26" t="str">
        <f t="shared" si="2"/>
        <v>180-199</v>
      </c>
      <c r="Q5" s="26" t="str">
        <f t="shared" si="2"/>
        <v>200-219</v>
      </c>
    </row>
    <row r="6" spans="1:39" ht="15" customHeight="1" x14ac:dyDescent="0.25">
      <c r="B6" s="61"/>
      <c r="C6" s="13"/>
      <c r="D6" s="62"/>
      <c r="E6" s="13"/>
      <c r="F6" s="18" t="s">
        <v>3</v>
      </c>
      <c r="G6" s="13"/>
      <c r="H6" s="26" t="str">
        <f t="shared" ref="H6:Q6" si="3">($D3+((H$4+1)*Area_per_Room)&amp;"-"&amp;($D3+((H$4+1)*Area_per_Room+(Area_per_Room-1))))</f>
        <v>1020-1039</v>
      </c>
      <c r="I6" s="26" t="str">
        <f t="shared" si="3"/>
        <v>1040-1059</v>
      </c>
      <c r="J6" s="26" t="str">
        <f t="shared" si="3"/>
        <v>1060-1079</v>
      </c>
      <c r="K6" s="26" t="str">
        <f t="shared" si="3"/>
        <v>1080-1099</v>
      </c>
      <c r="L6" s="26" t="str">
        <f t="shared" si="3"/>
        <v>1100-1119</v>
      </c>
      <c r="M6" s="26" t="str">
        <f t="shared" si="3"/>
        <v>1120-1139</v>
      </c>
      <c r="N6" s="26" t="str">
        <f t="shared" si="3"/>
        <v>1140-1159</v>
      </c>
      <c r="O6" s="26" t="str">
        <f t="shared" si="3"/>
        <v>1160-1179</v>
      </c>
      <c r="P6" s="26" t="str">
        <f t="shared" si="3"/>
        <v>1180-1199</v>
      </c>
      <c r="Q6" s="26" t="str">
        <f t="shared" si="3"/>
        <v>1200-1219</v>
      </c>
    </row>
    <row r="7" spans="1:39" ht="5.0999999999999996" customHeight="1" x14ac:dyDescent="0.25"/>
    <row r="8" spans="1:39" ht="15" customHeight="1" x14ac:dyDescent="0.25">
      <c r="A8" s="25">
        <v>2</v>
      </c>
      <c r="B8" s="61">
        <f>A8</f>
        <v>2</v>
      </c>
      <c r="C8" s="13"/>
      <c r="D8" s="62">
        <f>Floor_Offset_Difference*A8</f>
        <v>2000</v>
      </c>
      <c r="E8" s="13"/>
      <c r="F8" s="14" t="s">
        <v>4</v>
      </c>
      <c r="G8" s="13"/>
      <c r="H8" s="15" t="str">
        <f t="shared" ref="H8:Q8" si="4">IF($A8&lt;&gt;$B8, $B8,("L" &amp;$A8))&amp;" - "&amp;"Rm"&amp;(Room_Starting_Number+H9)</f>
        <v>L2 - Rm1</v>
      </c>
      <c r="I8" s="15" t="str">
        <f t="shared" si="4"/>
        <v>L2 - Rm2</v>
      </c>
      <c r="J8" s="15" t="str">
        <f t="shared" si="4"/>
        <v>L2 - Rm3</v>
      </c>
      <c r="K8" s="15" t="str">
        <f t="shared" si="4"/>
        <v>L2 - Rm4</v>
      </c>
      <c r="L8" s="15" t="str">
        <f t="shared" si="4"/>
        <v>L2 - Rm5</v>
      </c>
      <c r="M8" s="15" t="str">
        <f t="shared" si="4"/>
        <v>L2 - Rm6</v>
      </c>
      <c r="N8" s="15" t="str">
        <f t="shared" si="4"/>
        <v>L2 - Rm7</v>
      </c>
      <c r="O8" s="15" t="str">
        <f t="shared" si="4"/>
        <v>L2 - Rm8</v>
      </c>
      <c r="P8" s="15" t="str">
        <f t="shared" si="4"/>
        <v>L2 - Rm9</v>
      </c>
      <c r="Q8" s="15" t="str">
        <f t="shared" si="4"/>
        <v>L2 - Rm10</v>
      </c>
    </row>
    <row r="9" spans="1:39" ht="15" customHeight="1" x14ac:dyDescent="0.25">
      <c r="B9" s="61"/>
      <c r="C9" s="13"/>
      <c r="D9" s="62"/>
      <c r="E9" s="13"/>
      <c r="F9" s="14" t="s">
        <v>1</v>
      </c>
      <c r="G9" s="13"/>
      <c r="H9" s="26">
        <f t="shared" ref="H9:Q9" si="5">H$2</f>
        <v>0</v>
      </c>
      <c r="I9" s="26">
        <f t="shared" si="5"/>
        <v>1</v>
      </c>
      <c r="J9" s="26">
        <f t="shared" si="5"/>
        <v>2</v>
      </c>
      <c r="K9" s="26">
        <f t="shared" si="5"/>
        <v>3</v>
      </c>
      <c r="L9" s="26">
        <f t="shared" si="5"/>
        <v>4</v>
      </c>
      <c r="M9" s="26">
        <f t="shared" si="5"/>
        <v>5</v>
      </c>
      <c r="N9" s="26">
        <f t="shared" si="5"/>
        <v>6</v>
      </c>
      <c r="O9" s="26">
        <f t="shared" si="5"/>
        <v>7</v>
      </c>
      <c r="P9" s="26">
        <f t="shared" si="5"/>
        <v>8</v>
      </c>
      <c r="Q9" s="26">
        <f t="shared" si="5"/>
        <v>9</v>
      </c>
    </row>
    <row r="10" spans="1:39" ht="15" customHeight="1" x14ac:dyDescent="0.25">
      <c r="B10" s="61"/>
      <c r="C10" s="13"/>
      <c r="D10" s="62"/>
      <c r="E10" s="13"/>
      <c r="F10" s="18" t="s">
        <v>2</v>
      </c>
      <c r="G10" s="13"/>
      <c r="H10" s="26" t="str">
        <f t="shared" ref="H10:Q10" si="6">((H$4+1)*Area_per_Room&amp;"-"&amp;((H$4+1)*Area_per_Room+(Area_per_Room-1)))</f>
        <v>20-39</v>
      </c>
      <c r="I10" s="26" t="str">
        <f t="shared" si="6"/>
        <v>40-59</v>
      </c>
      <c r="J10" s="26" t="str">
        <f t="shared" si="6"/>
        <v>60-79</v>
      </c>
      <c r="K10" s="26" t="str">
        <f t="shared" si="6"/>
        <v>80-99</v>
      </c>
      <c r="L10" s="26" t="str">
        <f t="shared" si="6"/>
        <v>100-119</v>
      </c>
      <c r="M10" s="26" t="str">
        <f t="shared" si="6"/>
        <v>120-139</v>
      </c>
      <c r="N10" s="26" t="str">
        <f t="shared" si="6"/>
        <v>140-159</v>
      </c>
      <c r="O10" s="26" t="str">
        <f t="shared" si="6"/>
        <v>160-179</v>
      </c>
      <c r="P10" s="26" t="str">
        <f t="shared" si="6"/>
        <v>180-199</v>
      </c>
      <c r="Q10" s="26" t="str">
        <f t="shared" si="6"/>
        <v>200-219</v>
      </c>
    </row>
    <row r="11" spans="1:39" ht="15" customHeight="1" x14ac:dyDescent="0.25">
      <c r="B11" s="61"/>
      <c r="C11" s="13"/>
      <c r="D11" s="62"/>
      <c r="E11" s="13"/>
      <c r="F11" s="18" t="s">
        <v>3</v>
      </c>
      <c r="G11" s="13"/>
      <c r="H11" s="26" t="str">
        <f t="shared" ref="H11:Q11" si="7">($D8+((H$4+1)*Area_per_Room)&amp;"-"&amp;($D8+((H$4+1)*Area_per_Room+(Area_per_Room-1))))</f>
        <v>2020-2039</v>
      </c>
      <c r="I11" s="26" t="str">
        <f t="shared" si="7"/>
        <v>2040-2059</v>
      </c>
      <c r="J11" s="26" t="str">
        <f t="shared" si="7"/>
        <v>2060-2079</v>
      </c>
      <c r="K11" s="26" t="str">
        <f t="shared" si="7"/>
        <v>2080-2099</v>
      </c>
      <c r="L11" s="26" t="str">
        <f t="shared" si="7"/>
        <v>2100-2119</v>
      </c>
      <c r="M11" s="26" t="str">
        <f t="shared" si="7"/>
        <v>2120-2139</v>
      </c>
      <c r="N11" s="26" t="str">
        <f t="shared" si="7"/>
        <v>2140-2159</v>
      </c>
      <c r="O11" s="26" t="str">
        <f t="shared" si="7"/>
        <v>2160-2179</v>
      </c>
      <c r="P11" s="26" t="str">
        <f t="shared" si="7"/>
        <v>2180-2199</v>
      </c>
      <c r="Q11" s="26" t="str">
        <f t="shared" si="7"/>
        <v>2200-2219</v>
      </c>
    </row>
    <row r="12" spans="1:39" ht="5.0999999999999996" customHeight="1" x14ac:dyDescent="0.25"/>
    <row r="13" spans="1:39" ht="15" customHeight="1" x14ac:dyDescent="0.25">
      <c r="A13" s="25">
        <v>3</v>
      </c>
      <c r="B13" s="61">
        <f>A13</f>
        <v>3</v>
      </c>
      <c r="C13" s="13"/>
      <c r="D13" s="62">
        <f>Floor_Offset_Difference*A13</f>
        <v>3000</v>
      </c>
      <c r="E13" s="13"/>
      <c r="F13" s="14" t="s">
        <v>4</v>
      </c>
      <c r="G13" s="13"/>
      <c r="H13" s="15" t="str">
        <f t="shared" ref="H13:Q13" si="8">IF($A13&lt;&gt;$B13, $B13,("L" &amp;$A13))&amp;" - "&amp;"Rm"&amp;(Room_Starting_Number+H14)</f>
        <v>L3 - Rm1</v>
      </c>
      <c r="I13" s="15" t="str">
        <f t="shared" si="8"/>
        <v>L3 - Rm2</v>
      </c>
      <c r="J13" s="15" t="str">
        <f t="shared" si="8"/>
        <v>L3 - Rm3</v>
      </c>
      <c r="K13" s="15" t="str">
        <f t="shared" si="8"/>
        <v>L3 - Rm4</v>
      </c>
      <c r="L13" s="15" t="str">
        <f t="shared" si="8"/>
        <v>L3 - Rm5</v>
      </c>
      <c r="M13" s="15" t="str">
        <f t="shared" si="8"/>
        <v>L3 - Rm6</v>
      </c>
      <c r="N13" s="15" t="str">
        <f t="shared" si="8"/>
        <v>L3 - Rm7</v>
      </c>
      <c r="O13" s="15" t="str">
        <f t="shared" si="8"/>
        <v>L3 - Rm8</v>
      </c>
      <c r="P13" s="15" t="str">
        <f t="shared" si="8"/>
        <v>L3 - Rm9</v>
      </c>
      <c r="Q13" s="15" t="str">
        <f t="shared" si="8"/>
        <v>L3 - Rm10</v>
      </c>
    </row>
    <row r="14" spans="1:39" ht="15" customHeight="1" x14ac:dyDescent="0.25">
      <c r="B14" s="61"/>
      <c r="C14" s="13"/>
      <c r="D14" s="62"/>
      <c r="E14" s="13"/>
      <c r="F14" s="14" t="s">
        <v>1</v>
      </c>
      <c r="G14" s="13"/>
      <c r="H14" s="26">
        <f t="shared" ref="H14:Q14" si="9">H$2</f>
        <v>0</v>
      </c>
      <c r="I14" s="26">
        <f t="shared" si="9"/>
        <v>1</v>
      </c>
      <c r="J14" s="26">
        <f t="shared" si="9"/>
        <v>2</v>
      </c>
      <c r="K14" s="26">
        <f t="shared" si="9"/>
        <v>3</v>
      </c>
      <c r="L14" s="26">
        <f t="shared" si="9"/>
        <v>4</v>
      </c>
      <c r="M14" s="26">
        <f t="shared" si="9"/>
        <v>5</v>
      </c>
      <c r="N14" s="26">
        <f t="shared" si="9"/>
        <v>6</v>
      </c>
      <c r="O14" s="26">
        <f t="shared" si="9"/>
        <v>7</v>
      </c>
      <c r="P14" s="26">
        <f t="shared" si="9"/>
        <v>8</v>
      </c>
      <c r="Q14" s="26">
        <f t="shared" si="9"/>
        <v>9</v>
      </c>
    </row>
    <row r="15" spans="1:39" ht="15" customHeight="1" x14ac:dyDescent="0.25">
      <c r="B15" s="61"/>
      <c r="C15" s="13"/>
      <c r="D15" s="62"/>
      <c r="E15" s="13"/>
      <c r="F15" s="18" t="s">
        <v>2</v>
      </c>
      <c r="G15" s="13"/>
      <c r="H15" s="26" t="str">
        <f t="shared" ref="H15:Q15" si="10">((H$4+1)*Area_per_Room&amp;"-"&amp;((H$4+1)*Area_per_Room+(Area_per_Room-1)))</f>
        <v>20-39</v>
      </c>
      <c r="I15" s="26" t="str">
        <f t="shared" si="10"/>
        <v>40-59</v>
      </c>
      <c r="J15" s="26" t="str">
        <f t="shared" si="10"/>
        <v>60-79</v>
      </c>
      <c r="K15" s="26" t="str">
        <f t="shared" si="10"/>
        <v>80-99</v>
      </c>
      <c r="L15" s="26" t="str">
        <f t="shared" si="10"/>
        <v>100-119</v>
      </c>
      <c r="M15" s="26" t="str">
        <f t="shared" si="10"/>
        <v>120-139</v>
      </c>
      <c r="N15" s="26" t="str">
        <f t="shared" si="10"/>
        <v>140-159</v>
      </c>
      <c r="O15" s="26" t="str">
        <f t="shared" si="10"/>
        <v>160-179</v>
      </c>
      <c r="P15" s="26" t="str">
        <f t="shared" si="10"/>
        <v>180-199</v>
      </c>
      <c r="Q15" s="26" t="str">
        <f t="shared" si="10"/>
        <v>200-219</v>
      </c>
    </row>
    <row r="16" spans="1:39" ht="15" customHeight="1" x14ac:dyDescent="0.25">
      <c r="B16" s="61"/>
      <c r="C16" s="13"/>
      <c r="D16" s="62"/>
      <c r="E16" s="13"/>
      <c r="F16" s="18" t="s">
        <v>3</v>
      </c>
      <c r="G16" s="13"/>
      <c r="H16" s="26" t="str">
        <f t="shared" ref="H16:Q16" si="11">($D13+((H$4+1)*Area_per_Room)&amp;"-"&amp;($D13+((H$4+1)*Area_per_Room+(Area_per_Room-1))))</f>
        <v>3020-3039</v>
      </c>
      <c r="I16" s="26" t="str">
        <f t="shared" si="11"/>
        <v>3040-3059</v>
      </c>
      <c r="J16" s="26" t="str">
        <f t="shared" si="11"/>
        <v>3060-3079</v>
      </c>
      <c r="K16" s="26" t="str">
        <f t="shared" si="11"/>
        <v>3080-3099</v>
      </c>
      <c r="L16" s="26" t="str">
        <f t="shared" si="11"/>
        <v>3100-3119</v>
      </c>
      <c r="M16" s="26" t="str">
        <f t="shared" si="11"/>
        <v>3120-3139</v>
      </c>
      <c r="N16" s="26" t="str">
        <f t="shared" si="11"/>
        <v>3140-3159</v>
      </c>
      <c r="O16" s="26" t="str">
        <f t="shared" si="11"/>
        <v>3160-3179</v>
      </c>
      <c r="P16" s="26" t="str">
        <f t="shared" si="11"/>
        <v>3180-3199</v>
      </c>
      <c r="Q16" s="26" t="str">
        <f t="shared" si="11"/>
        <v>3200-3219</v>
      </c>
    </row>
    <row r="17" spans="1:17" ht="5.0999999999999996" customHeight="1" x14ac:dyDescent="0.25"/>
    <row r="18" spans="1:17" ht="15" customHeight="1" x14ac:dyDescent="0.25">
      <c r="A18" s="25">
        <v>4</v>
      </c>
      <c r="B18" s="61">
        <f>A18</f>
        <v>4</v>
      </c>
      <c r="C18" s="13"/>
      <c r="D18" s="62">
        <f>Floor_Offset_Difference*A18</f>
        <v>4000</v>
      </c>
      <c r="E18" s="13"/>
      <c r="F18" s="14" t="s">
        <v>4</v>
      </c>
      <c r="G18" s="13"/>
      <c r="H18" s="15" t="str">
        <f t="shared" ref="H18:Q18" si="12">IF($A18&lt;&gt;$B18, $B18,("L" &amp;$A18))&amp;" - "&amp;"Rm"&amp;(Room_Starting_Number+H19)</f>
        <v>L4 - Rm1</v>
      </c>
      <c r="I18" s="15" t="str">
        <f t="shared" si="12"/>
        <v>L4 - Rm2</v>
      </c>
      <c r="J18" s="15" t="str">
        <f t="shared" si="12"/>
        <v>L4 - Rm3</v>
      </c>
      <c r="K18" s="15" t="str">
        <f t="shared" si="12"/>
        <v>L4 - Rm4</v>
      </c>
      <c r="L18" s="15" t="str">
        <f t="shared" si="12"/>
        <v>L4 - Rm5</v>
      </c>
      <c r="M18" s="15" t="str">
        <f t="shared" si="12"/>
        <v>L4 - Rm6</v>
      </c>
      <c r="N18" s="15" t="str">
        <f t="shared" si="12"/>
        <v>L4 - Rm7</v>
      </c>
      <c r="O18" s="15" t="str">
        <f t="shared" si="12"/>
        <v>L4 - Rm8</v>
      </c>
      <c r="P18" s="15" t="str">
        <f t="shared" si="12"/>
        <v>L4 - Rm9</v>
      </c>
      <c r="Q18" s="15" t="str">
        <f t="shared" si="12"/>
        <v>L4 - Rm10</v>
      </c>
    </row>
    <row r="19" spans="1:17" ht="15" customHeight="1" x14ac:dyDescent="0.25">
      <c r="B19" s="61"/>
      <c r="C19" s="13"/>
      <c r="D19" s="62"/>
      <c r="E19" s="13"/>
      <c r="F19" s="14" t="s">
        <v>1</v>
      </c>
      <c r="G19" s="13"/>
      <c r="H19" s="26">
        <f t="shared" ref="H19:Q19" si="13">H$2</f>
        <v>0</v>
      </c>
      <c r="I19" s="26">
        <f t="shared" si="13"/>
        <v>1</v>
      </c>
      <c r="J19" s="26">
        <f t="shared" si="13"/>
        <v>2</v>
      </c>
      <c r="K19" s="26">
        <f t="shared" si="13"/>
        <v>3</v>
      </c>
      <c r="L19" s="26">
        <f t="shared" si="13"/>
        <v>4</v>
      </c>
      <c r="M19" s="26">
        <f t="shared" si="13"/>
        <v>5</v>
      </c>
      <c r="N19" s="26">
        <f t="shared" si="13"/>
        <v>6</v>
      </c>
      <c r="O19" s="26">
        <f t="shared" si="13"/>
        <v>7</v>
      </c>
      <c r="P19" s="26">
        <f t="shared" si="13"/>
        <v>8</v>
      </c>
      <c r="Q19" s="26">
        <f t="shared" si="13"/>
        <v>9</v>
      </c>
    </row>
    <row r="20" spans="1:17" ht="15" customHeight="1" x14ac:dyDescent="0.25">
      <c r="B20" s="61"/>
      <c r="C20" s="13"/>
      <c r="D20" s="62"/>
      <c r="E20" s="13"/>
      <c r="F20" s="18" t="s">
        <v>2</v>
      </c>
      <c r="G20" s="13"/>
      <c r="H20" s="26" t="str">
        <f t="shared" ref="H20:Q20" si="14">((H$4+1)*Area_per_Room&amp;"-"&amp;((H$4+1)*Area_per_Room+(Area_per_Room-1)))</f>
        <v>20-39</v>
      </c>
      <c r="I20" s="26" t="str">
        <f t="shared" si="14"/>
        <v>40-59</v>
      </c>
      <c r="J20" s="26" t="str">
        <f t="shared" si="14"/>
        <v>60-79</v>
      </c>
      <c r="K20" s="26" t="str">
        <f t="shared" si="14"/>
        <v>80-99</v>
      </c>
      <c r="L20" s="26" t="str">
        <f t="shared" si="14"/>
        <v>100-119</v>
      </c>
      <c r="M20" s="26" t="str">
        <f t="shared" si="14"/>
        <v>120-139</v>
      </c>
      <c r="N20" s="26" t="str">
        <f t="shared" si="14"/>
        <v>140-159</v>
      </c>
      <c r="O20" s="26" t="str">
        <f t="shared" si="14"/>
        <v>160-179</v>
      </c>
      <c r="P20" s="26" t="str">
        <f t="shared" si="14"/>
        <v>180-199</v>
      </c>
      <c r="Q20" s="26" t="str">
        <f t="shared" si="14"/>
        <v>200-219</v>
      </c>
    </row>
    <row r="21" spans="1:17" ht="15" customHeight="1" x14ac:dyDescent="0.25">
      <c r="B21" s="61"/>
      <c r="C21" s="13"/>
      <c r="D21" s="62"/>
      <c r="E21" s="13"/>
      <c r="F21" s="18" t="s">
        <v>3</v>
      </c>
      <c r="G21" s="13"/>
      <c r="H21" s="26" t="str">
        <f t="shared" ref="H21:Q21" si="15">($D18+((H$4+1)*Area_per_Room)&amp;"-"&amp;($D18+((H$4+1)*Area_per_Room+(Area_per_Room-1))))</f>
        <v>4020-4039</v>
      </c>
      <c r="I21" s="26" t="str">
        <f t="shared" si="15"/>
        <v>4040-4059</v>
      </c>
      <c r="J21" s="26" t="str">
        <f t="shared" si="15"/>
        <v>4060-4079</v>
      </c>
      <c r="K21" s="26" t="str">
        <f t="shared" si="15"/>
        <v>4080-4099</v>
      </c>
      <c r="L21" s="26" t="str">
        <f t="shared" si="15"/>
        <v>4100-4119</v>
      </c>
      <c r="M21" s="26" t="str">
        <f t="shared" si="15"/>
        <v>4120-4139</v>
      </c>
      <c r="N21" s="26" t="str">
        <f t="shared" si="15"/>
        <v>4140-4159</v>
      </c>
      <c r="O21" s="26" t="str">
        <f t="shared" si="15"/>
        <v>4160-4179</v>
      </c>
      <c r="P21" s="26" t="str">
        <f t="shared" si="15"/>
        <v>4180-4199</v>
      </c>
      <c r="Q21" s="26" t="str">
        <f t="shared" si="15"/>
        <v>4200-4219</v>
      </c>
    </row>
    <row r="22" spans="1:17" ht="5.0999999999999996" customHeight="1" x14ac:dyDescent="0.25"/>
    <row r="23" spans="1:17" ht="15" customHeight="1" x14ac:dyDescent="0.25">
      <c r="A23" s="25">
        <v>5</v>
      </c>
      <c r="B23" s="61">
        <f>A23</f>
        <v>5</v>
      </c>
      <c r="C23" s="13"/>
      <c r="D23" s="62">
        <f>Floor_Offset_Difference*A23</f>
        <v>5000</v>
      </c>
      <c r="E23" s="13"/>
      <c r="F23" s="14" t="s">
        <v>4</v>
      </c>
      <c r="G23" s="13"/>
      <c r="H23" s="15" t="str">
        <f t="shared" ref="H23:Q23" si="16">IF($A23&lt;&gt;$B23, $B23,("L" &amp;$A23))&amp;" - "&amp;"Rm"&amp;(Room_Starting_Number+H24)</f>
        <v>L5 - Rm1</v>
      </c>
      <c r="I23" s="15" t="str">
        <f t="shared" si="16"/>
        <v>L5 - Rm2</v>
      </c>
      <c r="J23" s="15" t="str">
        <f t="shared" si="16"/>
        <v>L5 - Rm3</v>
      </c>
      <c r="K23" s="15" t="str">
        <f t="shared" si="16"/>
        <v>L5 - Rm4</v>
      </c>
      <c r="L23" s="15" t="str">
        <f t="shared" si="16"/>
        <v>L5 - Rm5</v>
      </c>
      <c r="M23" s="15" t="str">
        <f t="shared" si="16"/>
        <v>L5 - Rm6</v>
      </c>
      <c r="N23" s="15" t="str">
        <f t="shared" si="16"/>
        <v>L5 - Rm7</v>
      </c>
      <c r="O23" s="15" t="str">
        <f t="shared" si="16"/>
        <v>L5 - Rm8</v>
      </c>
      <c r="P23" s="15" t="str">
        <f t="shared" si="16"/>
        <v>L5 - Rm9</v>
      </c>
      <c r="Q23" s="15" t="str">
        <f t="shared" si="16"/>
        <v>L5 - Rm10</v>
      </c>
    </row>
    <row r="24" spans="1:17" ht="15" customHeight="1" x14ac:dyDescent="0.25">
      <c r="B24" s="61"/>
      <c r="C24" s="13"/>
      <c r="D24" s="62"/>
      <c r="E24" s="13"/>
      <c r="F24" s="14" t="s">
        <v>1</v>
      </c>
      <c r="G24" s="13"/>
      <c r="H24" s="26">
        <f t="shared" ref="H24:Q24" si="17">H$2</f>
        <v>0</v>
      </c>
      <c r="I24" s="26">
        <f t="shared" si="17"/>
        <v>1</v>
      </c>
      <c r="J24" s="26">
        <f t="shared" si="17"/>
        <v>2</v>
      </c>
      <c r="K24" s="26">
        <f t="shared" si="17"/>
        <v>3</v>
      </c>
      <c r="L24" s="26">
        <f t="shared" si="17"/>
        <v>4</v>
      </c>
      <c r="M24" s="26">
        <f t="shared" si="17"/>
        <v>5</v>
      </c>
      <c r="N24" s="26">
        <f t="shared" si="17"/>
        <v>6</v>
      </c>
      <c r="O24" s="26">
        <f t="shared" si="17"/>
        <v>7</v>
      </c>
      <c r="P24" s="26">
        <f t="shared" si="17"/>
        <v>8</v>
      </c>
      <c r="Q24" s="26">
        <f t="shared" si="17"/>
        <v>9</v>
      </c>
    </row>
    <row r="25" spans="1:17" ht="15" customHeight="1" x14ac:dyDescent="0.25">
      <c r="B25" s="61"/>
      <c r="C25" s="13"/>
      <c r="D25" s="62"/>
      <c r="E25" s="13"/>
      <c r="F25" s="18" t="s">
        <v>2</v>
      </c>
      <c r="G25" s="13"/>
      <c r="H25" s="26" t="str">
        <f t="shared" ref="H25:Q25" si="18">((H$4+1)*Area_per_Room&amp;"-"&amp;((H$4+1)*Area_per_Room+(Area_per_Room-1)))</f>
        <v>20-39</v>
      </c>
      <c r="I25" s="26" t="str">
        <f t="shared" si="18"/>
        <v>40-59</v>
      </c>
      <c r="J25" s="26" t="str">
        <f t="shared" si="18"/>
        <v>60-79</v>
      </c>
      <c r="K25" s="26" t="str">
        <f t="shared" si="18"/>
        <v>80-99</v>
      </c>
      <c r="L25" s="26" t="str">
        <f t="shared" si="18"/>
        <v>100-119</v>
      </c>
      <c r="M25" s="26" t="str">
        <f t="shared" si="18"/>
        <v>120-139</v>
      </c>
      <c r="N25" s="26" t="str">
        <f t="shared" si="18"/>
        <v>140-159</v>
      </c>
      <c r="O25" s="26" t="str">
        <f t="shared" si="18"/>
        <v>160-179</v>
      </c>
      <c r="P25" s="26" t="str">
        <f t="shared" si="18"/>
        <v>180-199</v>
      </c>
      <c r="Q25" s="26" t="str">
        <f t="shared" si="18"/>
        <v>200-219</v>
      </c>
    </row>
    <row r="26" spans="1:17" ht="15" customHeight="1" x14ac:dyDescent="0.25">
      <c r="B26" s="61"/>
      <c r="C26" s="13"/>
      <c r="D26" s="62"/>
      <c r="E26" s="13"/>
      <c r="F26" s="18" t="s">
        <v>3</v>
      </c>
      <c r="G26" s="13"/>
      <c r="H26" s="26" t="str">
        <f t="shared" ref="H26:Q26" si="19">($D23+((H$4+1)*Area_per_Room)&amp;"-"&amp;($D23+((H$4+1)*Area_per_Room+(Area_per_Room-1))))</f>
        <v>5020-5039</v>
      </c>
      <c r="I26" s="26" t="str">
        <f t="shared" si="19"/>
        <v>5040-5059</v>
      </c>
      <c r="J26" s="26" t="str">
        <f t="shared" si="19"/>
        <v>5060-5079</v>
      </c>
      <c r="K26" s="26" t="str">
        <f t="shared" si="19"/>
        <v>5080-5099</v>
      </c>
      <c r="L26" s="26" t="str">
        <f t="shared" si="19"/>
        <v>5100-5119</v>
      </c>
      <c r="M26" s="26" t="str">
        <f t="shared" si="19"/>
        <v>5120-5139</v>
      </c>
      <c r="N26" s="26" t="str">
        <f t="shared" si="19"/>
        <v>5140-5159</v>
      </c>
      <c r="O26" s="26" t="str">
        <f t="shared" si="19"/>
        <v>5160-5179</v>
      </c>
      <c r="P26" s="26" t="str">
        <f t="shared" si="19"/>
        <v>5180-5199</v>
      </c>
      <c r="Q26" s="26" t="str">
        <f t="shared" si="19"/>
        <v>5200-5219</v>
      </c>
    </row>
    <row r="27" spans="1:17" ht="5.0999999999999996" customHeight="1" x14ac:dyDescent="0.25"/>
    <row r="28" spans="1:17" ht="15" customHeight="1" x14ac:dyDescent="0.25">
      <c r="A28" s="25">
        <v>6</v>
      </c>
      <c r="B28" s="61">
        <f>A28</f>
        <v>6</v>
      </c>
      <c r="C28" s="13"/>
      <c r="D28" s="62">
        <f>Floor_Offset_Difference*A28</f>
        <v>6000</v>
      </c>
      <c r="E28" s="13"/>
      <c r="F28" s="14" t="s">
        <v>4</v>
      </c>
      <c r="G28" s="13"/>
      <c r="H28" s="15" t="str">
        <f t="shared" ref="H28:Q28" si="20">IF($A28&lt;&gt;$B28, $B28,("L" &amp;$A28))&amp;" - "&amp;"Rm"&amp;(Room_Starting_Number+H29)</f>
        <v>L6 - Rm1</v>
      </c>
      <c r="I28" s="15" t="str">
        <f t="shared" si="20"/>
        <v>L6 - Rm2</v>
      </c>
      <c r="J28" s="15" t="str">
        <f t="shared" si="20"/>
        <v>L6 - Rm3</v>
      </c>
      <c r="K28" s="15" t="str">
        <f t="shared" si="20"/>
        <v>L6 - Rm4</v>
      </c>
      <c r="L28" s="15" t="str">
        <f t="shared" si="20"/>
        <v>L6 - Rm5</v>
      </c>
      <c r="M28" s="15" t="str">
        <f t="shared" si="20"/>
        <v>L6 - Rm6</v>
      </c>
      <c r="N28" s="15" t="str">
        <f t="shared" si="20"/>
        <v>L6 - Rm7</v>
      </c>
      <c r="O28" s="15" t="str">
        <f t="shared" si="20"/>
        <v>L6 - Rm8</v>
      </c>
      <c r="P28" s="15" t="str">
        <f t="shared" si="20"/>
        <v>L6 - Rm9</v>
      </c>
      <c r="Q28" s="15" t="str">
        <f t="shared" si="20"/>
        <v>L6 - Rm10</v>
      </c>
    </row>
    <row r="29" spans="1:17" ht="15" customHeight="1" x14ac:dyDescent="0.25">
      <c r="B29" s="61"/>
      <c r="C29" s="13"/>
      <c r="D29" s="62"/>
      <c r="E29" s="13"/>
      <c r="F29" s="14" t="s">
        <v>1</v>
      </c>
      <c r="G29" s="13"/>
      <c r="H29" s="26">
        <f t="shared" ref="H29:Q29" si="21">H$2</f>
        <v>0</v>
      </c>
      <c r="I29" s="26">
        <f t="shared" si="21"/>
        <v>1</v>
      </c>
      <c r="J29" s="26">
        <f t="shared" si="21"/>
        <v>2</v>
      </c>
      <c r="K29" s="26">
        <f t="shared" si="21"/>
        <v>3</v>
      </c>
      <c r="L29" s="26">
        <f t="shared" si="21"/>
        <v>4</v>
      </c>
      <c r="M29" s="26">
        <f t="shared" si="21"/>
        <v>5</v>
      </c>
      <c r="N29" s="26">
        <f t="shared" si="21"/>
        <v>6</v>
      </c>
      <c r="O29" s="26">
        <f t="shared" si="21"/>
        <v>7</v>
      </c>
      <c r="P29" s="26">
        <f t="shared" si="21"/>
        <v>8</v>
      </c>
      <c r="Q29" s="26">
        <f t="shared" si="21"/>
        <v>9</v>
      </c>
    </row>
    <row r="30" spans="1:17" ht="15" customHeight="1" x14ac:dyDescent="0.25">
      <c r="B30" s="61"/>
      <c r="C30" s="13"/>
      <c r="D30" s="62"/>
      <c r="E30" s="13"/>
      <c r="F30" s="18" t="s">
        <v>2</v>
      </c>
      <c r="G30" s="13"/>
      <c r="H30" s="26" t="str">
        <f t="shared" ref="H30:Q30" si="22">((H$4+1)*Area_per_Room&amp;"-"&amp;((H$4+1)*Area_per_Room+(Area_per_Room-1)))</f>
        <v>20-39</v>
      </c>
      <c r="I30" s="26" t="str">
        <f t="shared" si="22"/>
        <v>40-59</v>
      </c>
      <c r="J30" s="26" t="str">
        <f t="shared" si="22"/>
        <v>60-79</v>
      </c>
      <c r="K30" s="26" t="str">
        <f t="shared" si="22"/>
        <v>80-99</v>
      </c>
      <c r="L30" s="26" t="str">
        <f t="shared" si="22"/>
        <v>100-119</v>
      </c>
      <c r="M30" s="26" t="str">
        <f t="shared" si="22"/>
        <v>120-139</v>
      </c>
      <c r="N30" s="26" t="str">
        <f t="shared" si="22"/>
        <v>140-159</v>
      </c>
      <c r="O30" s="26" t="str">
        <f t="shared" si="22"/>
        <v>160-179</v>
      </c>
      <c r="P30" s="26" t="str">
        <f t="shared" si="22"/>
        <v>180-199</v>
      </c>
      <c r="Q30" s="26" t="str">
        <f t="shared" si="22"/>
        <v>200-219</v>
      </c>
    </row>
    <row r="31" spans="1:17" ht="15" customHeight="1" x14ac:dyDescent="0.25">
      <c r="B31" s="61"/>
      <c r="C31" s="13"/>
      <c r="D31" s="62"/>
      <c r="E31" s="13"/>
      <c r="F31" s="18" t="s">
        <v>3</v>
      </c>
      <c r="G31" s="13"/>
      <c r="H31" s="26" t="str">
        <f t="shared" ref="H31:Q31" si="23">($D28+((H$4+1)*Area_per_Room)&amp;"-"&amp;($D28+((H$4+1)*Area_per_Room+(Area_per_Room-1))))</f>
        <v>6020-6039</v>
      </c>
      <c r="I31" s="26" t="str">
        <f t="shared" si="23"/>
        <v>6040-6059</v>
      </c>
      <c r="J31" s="26" t="str">
        <f t="shared" si="23"/>
        <v>6060-6079</v>
      </c>
      <c r="K31" s="26" t="str">
        <f t="shared" si="23"/>
        <v>6080-6099</v>
      </c>
      <c r="L31" s="26" t="str">
        <f t="shared" si="23"/>
        <v>6100-6119</v>
      </c>
      <c r="M31" s="26" t="str">
        <f t="shared" si="23"/>
        <v>6120-6139</v>
      </c>
      <c r="N31" s="26" t="str">
        <f t="shared" si="23"/>
        <v>6140-6159</v>
      </c>
      <c r="O31" s="26" t="str">
        <f t="shared" si="23"/>
        <v>6160-6179</v>
      </c>
      <c r="P31" s="26" t="str">
        <f t="shared" si="23"/>
        <v>6180-6199</v>
      </c>
      <c r="Q31" s="26" t="str">
        <f t="shared" si="23"/>
        <v>6200-6219</v>
      </c>
    </row>
    <row r="32" spans="1:17" ht="5.0999999999999996" customHeight="1" x14ac:dyDescent="0.25"/>
    <row r="33" spans="1:17" ht="15" customHeight="1" x14ac:dyDescent="0.25">
      <c r="A33" s="25">
        <v>7</v>
      </c>
      <c r="B33" s="61">
        <f>A33</f>
        <v>7</v>
      </c>
      <c r="C33" s="13"/>
      <c r="D33" s="62">
        <f>Floor_Offset_Difference*A33</f>
        <v>7000</v>
      </c>
      <c r="E33" s="13"/>
      <c r="F33" s="14" t="s">
        <v>4</v>
      </c>
      <c r="G33" s="13"/>
      <c r="H33" s="15" t="str">
        <f t="shared" ref="H33:Q33" si="24">IF($A33&lt;&gt;$B33, $B33,("L" &amp;$A33))&amp;" - "&amp;"Rm"&amp;(Room_Starting_Number+H34)</f>
        <v>L7 - Rm1</v>
      </c>
      <c r="I33" s="15" t="str">
        <f t="shared" si="24"/>
        <v>L7 - Rm2</v>
      </c>
      <c r="J33" s="15" t="str">
        <f t="shared" si="24"/>
        <v>L7 - Rm3</v>
      </c>
      <c r="K33" s="15" t="str">
        <f t="shared" si="24"/>
        <v>L7 - Rm4</v>
      </c>
      <c r="L33" s="15" t="str">
        <f t="shared" si="24"/>
        <v>L7 - Rm5</v>
      </c>
      <c r="M33" s="15" t="str">
        <f t="shared" si="24"/>
        <v>L7 - Rm6</v>
      </c>
      <c r="N33" s="15" t="str">
        <f t="shared" si="24"/>
        <v>L7 - Rm7</v>
      </c>
      <c r="O33" s="15" t="str">
        <f t="shared" si="24"/>
        <v>L7 - Rm8</v>
      </c>
      <c r="P33" s="15" t="str">
        <f t="shared" si="24"/>
        <v>L7 - Rm9</v>
      </c>
      <c r="Q33" s="15" t="str">
        <f t="shared" si="24"/>
        <v>L7 - Rm10</v>
      </c>
    </row>
    <row r="34" spans="1:17" ht="15" customHeight="1" x14ac:dyDescent="0.25">
      <c r="B34" s="61"/>
      <c r="C34" s="13"/>
      <c r="D34" s="62"/>
      <c r="E34" s="13"/>
      <c r="F34" s="14" t="s">
        <v>1</v>
      </c>
      <c r="G34" s="13"/>
      <c r="H34" s="26">
        <f t="shared" ref="H34:Q34" si="25">H$2</f>
        <v>0</v>
      </c>
      <c r="I34" s="26">
        <f t="shared" si="25"/>
        <v>1</v>
      </c>
      <c r="J34" s="26">
        <f t="shared" si="25"/>
        <v>2</v>
      </c>
      <c r="K34" s="26">
        <f t="shared" si="25"/>
        <v>3</v>
      </c>
      <c r="L34" s="26">
        <f t="shared" si="25"/>
        <v>4</v>
      </c>
      <c r="M34" s="26">
        <f t="shared" si="25"/>
        <v>5</v>
      </c>
      <c r="N34" s="26">
        <f t="shared" si="25"/>
        <v>6</v>
      </c>
      <c r="O34" s="26">
        <f t="shared" si="25"/>
        <v>7</v>
      </c>
      <c r="P34" s="26">
        <f t="shared" si="25"/>
        <v>8</v>
      </c>
      <c r="Q34" s="26">
        <f t="shared" si="25"/>
        <v>9</v>
      </c>
    </row>
    <row r="35" spans="1:17" ht="15" customHeight="1" x14ac:dyDescent="0.25">
      <c r="B35" s="61"/>
      <c r="C35" s="13"/>
      <c r="D35" s="62"/>
      <c r="E35" s="13"/>
      <c r="F35" s="18" t="s">
        <v>2</v>
      </c>
      <c r="G35" s="13"/>
      <c r="H35" s="26" t="str">
        <f t="shared" ref="H35:Q35" si="26">((H$4+1)*Area_per_Room&amp;"-"&amp;((H$4+1)*Area_per_Room+(Area_per_Room-1)))</f>
        <v>20-39</v>
      </c>
      <c r="I35" s="26" t="str">
        <f t="shared" si="26"/>
        <v>40-59</v>
      </c>
      <c r="J35" s="26" t="str">
        <f t="shared" si="26"/>
        <v>60-79</v>
      </c>
      <c r="K35" s="26" t="str">
        <f t="shared" si="26"/>
        <v>80-99</v>
      </c>
      <c r="L35" s="26" t="str">
        <f t="shared" si="26"/>
        <v>100-119</v>
      </c>
      <c r="M35" s="26" t="str">
        <f t="shared" si="26"/>
        <v>120-139</v>
      </c>
      <c r="N35" s="26" t="str">
        <f t="shared" si="26"/>
        <v>140-159</v>
      </c>
      <c r="O35" s="26" t="str">
        <f t="shared" si="26"/>
        <v>160-179</v>
      </c>
      <c r="P35" s="26" t="str">
        <f t="shared" si="26"/>
        <v>180-199</v>
      </c>
      <c r="Q35" s="26" t="str">
        <f t="shared" si="26"/>
        <v>200-219</v>
      </c>
    </row>
    <row r="36" spans="1:17" ht="15" customHeight="1" x14ac:dyDescent="0.25">
      <c r="B36" s="61"/>
      <c r="C36" s="13"/>
      <c r="D36" s="62"/>
      <c r="E36" s="13"/>
      <c r="F36" s="18" t="s">
        <v>3</v>
      </c>
      <c r="G36" s="13"/>
      <c r="H36" s="26" t="str">
        <f t="shared" ref="H36:Q36" si="27">($D33+((H$4+1)*Area_per_Room)&amp;"-"&amp;($D33+((H$4+1)*Area_per_Room+(Area_per_Room-1))))</f>
        <v>7020-7039</v>
      </c>
      <c r="I36" s="26" t="str">
        <f t="shared" si="27"/>
        <v>7040-7059</v>
      </c>
      <c r="J36" s="26" t="str">
        <f t="shared" si="27"/>
        <v>7060-7079</v>
      </c>
      <c r="K36" s="26" t="str">
        <f t="shared" si="27"/>
        <v>7080-7099</v>
      </c>
      <c r="L36" s="26" t="str">
        <f t="shared" si="27"/>
        <v>7100-7119</v>
      </c>
      <c r="M36" s="26" t="str">
        <f t="shared" si="27"/>
        <v>7120-7139</v>
      </c>
      <c r="N36" s="26" t="str">
        <f t="shared" si="27"/>
        <v>7140-7159</v>
      </c>
      <c r="O36" s="26" t="str">
        <f t="shared" si="27"/>
        <v>7160-7179</v>
      </c>
      <c r="P36" s="26" t="str">
        <f t="shared" si="27"/>
        <v>7180-7199</v>
      </c>
      <c r="Q36" s="26" t="str">
        <f t="shared" si="27"/>
        <v>7200-7219</v>
      </c>
    </row>
    <row r="37" spans="1:17" ht="5.0999999999999996" customHeight="1" x14ac:dyDescent="0.25"/>
    <row r="38" spans="1:17" ht="15" customHeight="1" x14ac:dyDescent="0.25">
      <c r="A38" s="25">
        <v>8</v>
      </c>
      <c r="B38" s="61">
        <f>A38</f>
        <v>8</v>
      </c>
      <c r="C38" s="13"/>
      <c r="D38" s="62">
        <f>Floor_Offset_Difference*A38</f>
        <v>8000</v>
      </c>
      <c r="E38" s="13"/>
      <c r="F38" s="14" t="s">
        <v>4</v>
      </c>
      <c r="G38" s="13"/>
      <c r="H38" s="15" t="str">
        <f t="shared" ref="H38:Q38" si="28">IF($A38&lt;&gt;$B38, $B38,("L" &amp;$A38))&amp;" - "&amp;"Rm"&amp;(Room_Starting_Number+H39)</f>
        <v>L8 - Rm1</v>
      </c>
      <c r="I38" s="15" t="str">
        <f t="shared" si="28"/>
        <v>L8 - Rm2</v>
      </c>
      <c r="J38" s="15" t="str">
        <f t="shared" si="28"/>
        <v>L8 - Rm3</v>
      </c>
      <c r="K38" s="15" t="str">
        <f t="shared" si="28"/>
        <v>L8 - Rm4</v>
      </c>
      <c r="L38" s="15" t="str">
        <f t="shared" si="28"/>
        <v>L8 - Rm5</v>
      </c>
      <c r="M38" s="15" t="str">
        <f t="shared" si="28"/>
        <v>L8 - Rm6</v>
      </c>
      <c r="N38" s="15" t="str">
        <f t="shared" si="28"/>
        <v>L8 - Rm7</v>
      </c>
      <c r="O38" s="15" t="str">
        <f t="shared" si="28"/>
        <v>L8 - Rm8</v>
      </c>
      <c r="P38" s="15" t="str">
        <f t="shared" si="28"/>
        <v>L8 - Rm9</v>
      </c>
      <c r="Q38" s="15" t="str">
        <f t="shared" si="28"/>
        <v>L8 - Rm10</v>
      </c>
    </row>
    <row r="39" spans="1:17" ht="15" customHeight="1" x14ac:dyDescent="0.25">
      <c r="B39" s="61"/>
      <c r="C39" s="13"/>
      <c r="D39" s="62"/>
      <c r="E39" s="13"/>
      <c r="F39" s="14" t="s">
        <v>1</v>
      </c>
      <c r="G39" s="13"/>
      <c r="H39" s="26">
        <f t="shared" ref="H39:Q39" si="29">H$2</f>
        <v>0</v>
      </c>
      <c r="I39" s="26">
        <f t="shared" si="29"/>
        <v>1</v>
      </c>
      <c r="J39" s="26">
        <f t="shared" si="29"/>
        <v>2</v>
      </c>
      <c r="K39" s="26">
        <f t="shared" si="29"/>
        <v>3</v>
      </c>
      <c r="L39" s="26">
        <f t="shared" si="29"/>
        <v>4</v>
      </c>
      <c r="M39" s="26">
        <f t="shared" si="29"/>
        <v>5</v>
      </c>
      <c r="N39" s="26">
        <f t="shared" si="29"/>
        <v>6</v>
      </c>
      <c r="O39" s="26">
        <f t="shared" si="29"/>
        <v>7</v>
      </c>
      <c r="P39" s="26">
        <f t="shared" si="29"/>
        <v>8</v>
      </c>
      <c r="Q39" s="26">
        <f t="shared" si="29"/>
        <v>9</v>
      </c>
    </row>
    <row r="40" spans="1:17" ht="15" customHeight="1" x14ac:dyDescent="0.25">
      <c r="B40" s="61"/>
      <c r="C40" s="13"/>
      <c r="D40" s="62"/>
      <c r="E40" s="13"/>
      <c r="F40" s="18" t="s">
        <v>2</v>
      </c>
      <c r="G40" s="13"/>
      <c r="H40" s="26" t="str">
        <f t="shared" ref="H40:Q40" si="30">((H$4+1)*Area_per_Room&amp;"-"&amp;((H$4+1)*Area_per_Room+(Area_per_Room-1)))</f>
        <v>20-39</v>
      </c>
      <c r="I40" s="26" t="str">
        <f t="shared" si="30"/>
        <v>40-59</v>
      </c>
      <c r="J40" s="26" t="str">
        <f t="shared" si="30"/>
        <v>60-79</v>
      </c>
      <c r="K40" s="26" t="str">
        <f t="shared" si="30"/>
        <v>80-99</v>
      </c>
      <c r="L40" s="26" t="str">
        <f t="shared" si="30"/>
        <v>100-119</v>
      </c>
      <c r="M40" s="26" t="str">
        <f t="shared" si="30"/>
        <v>120-139</v>
      </c>
      <c r="N40" s="26" t="str">
        <f t="shared" si="30"/>
        <v>140-159</v>
      </c>
      <c r="O40" s="26" t="str">
        <f t="shared" si="30"/>
        <v>160-179</v>
      </c>
      <c r="P40" s="26" t="str">
        <f t="shared" si="30"/>
        <v>180-199</v>
      </c>
      <c r="Q40" s="26" t="str">
        <f t="shared" si="30"/>
        <v>200-219</v>
      </c>
    </row>
    <row r="41" spans="1:17" ht="15" customHeight="1" x14ac:dyDescent="0.25">
      <c r="B41" s="61"/>
      <c r="C41" s="13"/>
      <c r="D41" s="62"/>
      <c r="E41" s="13"/>
      <c r="F41" s="18" t="s">
        <v>3</v>
      </c>
      <c r="G41" s="13"/>
      <c r="H41" s="26" t="str">
        <f t="shared" ref="H41:Q41" si="31">($D38+((H$4+1)*Area_per_Room)&amp;"-"&amp;($D38+((H$4+1)*Area_per_Room+(Area_per_Room-1))))</f>
        <v>8020-8039</v>
      </c>
      <c r="I41" s="26" t="str">
        <f t="shared" si="31"/>
        <v>8040-8059</v>
      </c>
      <c r="J41" s="26" t="str">
        <f t="shared" si="31"/>
        <v>8060-8079</v>
      </c>
      <c r="K41" s="26" t="str">
        <f t="shared" si="31"/>
        <v>8080-8099</v>
      </c>
      <c r="L41" s="26" t="str">
        <f t="shared" si="31"/>
        <v>8100-8119</v>
      </c>
      <c r="M41" s="26" t="str">
        <f t="shared" si="31"/>
        <v>8120-8139</v>
      </c>
      <c r="N41" s="26" t="str">
        <f t="shared" si="31"/>
        <v>8140-8159</v>
      </c>
      <c r="O41" s="26" t="str">
        <f t="shared" si="31"/>
        <v>8160-8179</v>
      </c>
      <c r="P41" s="26" t="str">
        <f t="shared" si="31"/>
        <v>8180-8199</v>
      </c>
      <c r="Q41" s="26" t="str">
        <f t="shared" si="31"/>
        <v>8200-8219</v>
      </c>
    </row>
    <row r="42" spans="1:17" ht="5.0999999999999996" customHeight="1" x14ac:dyDescent="0.25"/>
    <row r="43" spans="1:17" ht="15" customHeight="1" x14ac:dyDescent="0.25">
      <c r="A43" s="25">
        <v>9</v>
      </c>
      <c r="B43" s="61">
        <f>A43</f>
        <v>9</v>
      </c>
      <c r="C43" s="13"/>
      <c r="D43" s="62">
        <f>Floor_Offset_Difference*A43</f>
        <v>9000</v>
      </c>
      <c r="E43" s="13"/>
      <c r="F43" s="14" t="s">
        <v>4</v>
      </c>
      <c r="G43" s="13"/>
      <c r="H43" s="15" t="str">
        <f t="shared" ref="H43:Q43" si="32">IF($A43&lt;&gt;$B43, $B43,("L" &amp;$A43))&amp;" - "&amp;"Rm"&amp;(Room_Starting_Number+H44)</f>
        <v>L9 - Rm1</v>
      </c>
      <c r="I43" s="15" t="str">
        <f t="shared" si="32"/>
        <v>L9 - Rm2</v>
      </c>
      <c r="J43" s="15" t="str">
        <f t="shared" si="32"/>
        <v>L9 - Rm3</v>
      </c>
      <c r="K43" s="15" t="str">
        <f t="shared" si="32"/>
        <v>L9 - Rm4</v>
      </c>
      <c r="L43" s="15" t="str">
        <f t="shared" si="32"/>
        <v>L9 - Rm5</v>
      </c>
      <c r="M43" s="15" t="str">
        <f t="shared" si="32"/>
        <v>L9 - Rm6</v>
      </c>
      <c r="N43" s="15" t="str">
        <f t="shared" si="32"/>
        <v>L9 - Rm7</v>
      </c>
      <c r="O43" s="15" t="str">
        <f t="shared" si="32"/>
        <v>L9 - Rm8</v>
      </c>
      <c r="P43" s="15" t="str">
        <f t="shared" si="32"/>
        <v>L9 - Rm9</v>
      </c>
      <c r="Q43" s="15" t="str">
        <f t="shared" si="32"/>
        <v>L9 - Rm10</v>
      </c>
    </row>
    <row r="44" spans="1:17" ht="15" customHeight="1" x14ac:dyDescent="0.25">
      <c r="B44" s="61"/>
      <c r="C44" s="13"/>
      <c r="D44" s="62"/>
      <c r="E44" s="13"/>
      <c r="F44" s="14" t="s">
        <v>1</v>
      </c>
      <c r="G44" s="13"/>
      <c r="H44" s="26">
        <f t="shared" ref="H44:Q44" si="33">H$2</f>
        <v>0</v>
      </c>
      <c r="I44" s="26">
        <f t="shared" si="33"/>
        <v>1</v>
      </c>
      <c r="J44" s="26">
        <f t="shared" si="33"/>
        <v>2</v>
      </c>
      <c r="K44" s="26">
        <f t="shared" si="33"/>
        <v>3</v>
      </c>
      <c r="L44" s="26">
        <f t="shared" si="33"/>
        <v>4</v>
      </c>
      <c r="M44" s="26">
        <f t="shared" si="33"/>
        <v>5</v>
      </c>
      <c r="N44" s="26">
        <f t="shared" si="33"/>
        <v>6</v>
      </c>
      <c r="O44" s="26">
        <f t="shared" si="33"/>
        <v>7</v>
      </c>
      <c r="P44" s="26">
        <f t="shared" si="33"/>
        <v>8</v>
      </c>
      <c r="Q44" s="26">
        <f t="shared" si="33"/>
        <v>9</v>
      </c>
    </row>
    <row r="45" spans="1:17" ht="15" customHeight="1" x14ac:dyDescent="0.25">
      <c r="B45" s="61"/>
      <c r="C45" s="13"/>
      <c r="D45" s="62"/>
      <c r="E45" s="13"/>
      <c r="F45" s="18" t="s">
        <v>2</v>
      </c>
      <c r="G45" s="13"/>
      <c r="H45" s="26" t="str">
        <f t="shared" ref="H45:Q45" si="34">((H$4+1)*Area_per_Room&amp;"-"&amp;((H$4+1)*Area_per_Room+(Area_per_Room-1)))</f>
        <v>20-39</v>
      </c>
      <c r="I45" s="26" t="str">
        <f t="shared" si="34"/>
        <v>40-59</v>
      </c>
      <c r="J45" s="26" t="str">
        <f t="shared" si="34"/>
        <v>60-79</v>
      </c>
      <c r="K45" s="26" t="str">
        <f t="shared" si="34"/>
        <v>80-99</v>
      </c>
      <c r="L45" s="26" t="str">
        <f t="shared" si="34"/>
        <v>100-119</v>
      </c>
      <c r="M45" s="26" t="str">
        <f t="shared" si="34"/>
        <v>120-139</v>
      </c>
      <c r="N45" s="26" t="str">
        <f t="shared" si="34"/>
        <v>140-159</v>
      </c>
      <c r="O45" s="26" t="str">
        <f t="shared" si="34"/>
        <v>160-179</v>
      </c>
      <c r="P45" s="26" t="str">
        <f t="shared" si="34"/>
        <v>180-199</v>
      </c>
      <c r="Q45" s="26" t="str">
        <f t="shared" si="34"/>
        <v>200-219</v>
      </c>
    </row>
    <row r="46" spans="1:17" ht="15" customHeight="1" x14ac:dyDescent="0.25">
      <c r="B46" s="61"/>
      <c r="C46" s="13"/>
      <c r="D46" s="62"/>
      <c r="E46" s="13"/>
      <c r="F46" s="18" t="s">
        <v>3</v>
      </c>
      <c r="G46" s="13"/>
      <c r="H46" s="26" t="str">
        <f t="shared" ref="H46:Q46" si="35">($D43+((H$4+1)*Area_per_Room)&amp;"-"&amp;($D43+((H$4+1)*Area_per_Room+(Area_per_Room-1))))</f>
        <v>9020-9039</v>
      </c>
      <c r="I46" s="26" t="str">
        <f t="shared" si="35"/>
        <v>9040-9059</v>
      </c>
      <c r="J46" s="26" t="str">
        <f t="shared" si="35"/>
        <v>9060-9079</v>
      </c>
      <c r="K46" s="26" t="str">
        <f t="shared" si="35"/>
        <v>9080-9099</v>
      </c>
      <c r="L46" s="26" t="str">
        <f t="shared" si="35"/>
        <v>9100-9119</v>
      </c>
      <c r="M46" s="26" t="str">
        <f t="shared" si="35"/>
        <v>9120-9139</v>
      </c>
      <c r="N46" s="26" t="str">
        <f t="shared" si="35"/>
        <v>9140-9159</v>
      </c>
      <c r="O46" s="26" t="str">
        <f t="shared" si="35"/>
        <v>9160-9179</v>
      </c>
      <c r="P46" s="26" t="str">
        <f t="shared" si="35"/>
        <v>9180-9199</v>
      </c>
      <c r="Q46" s="26" t="str">
        <f t="shared" si="35"/>
        <v>9200-9219</v>
      </c>
    </row>
    <row r="47" spans="1:17" ht="5.0999999999999996" customHeight="1" x14ac:dyDescent="0.25"/>
    <row r="48" spans="1:17" ht="15" customHeight="1" x14ac:dyDescent="0.25">
      <c r="A48" s="25">
        <v>10</v>
      </c>
      <c r="B48" s="61">
        <f>A48</f>
        <v>10</v>
      </c>
      <c r="C48" s="13"/>
      <c r="D48" s="62">
        <f>Floor_Offset_Difference*A48</f>
        <v>10000</v>
      </c>
      <c r="E48" s="13"/>
      <c r="F48" s="14" t="s">
        <v>4</v>
      </c>
      <c r="G48" s="13"/>
      <c r="H48" s="15" t="str">
        <f t="shared" ref="H48:Q48" si="36">IF($A48&lt;&gt;$B48, $B48,("L" &amp;$A48))&amp;" - "&amp;"Rm"&amp;(Room_Starting_Number+H49)</f>
        <v>L10 - Rm1</v>
      </c>
      <c r="I48" s="15" t="str">
        <f t="shared" si="36"/>
        <v>L10 - Rm2</v>
      </c>
      <c r="J48" s="15" t="str">
        <f t="shared" si="36"/>
        <v>L10 - Rm3</v>
      </c>
      <c r="K48" s="15" t="str">
        <f t="shared" si="36"/>
        <v>L10 - Rm4</v>
      </c>
      <c r="L48" s="15" t="str">
        <f t="shared" si="36"/>
        <v>L10 - Rm5</v>
      </c>
      <c r="M48" s="15" t="str">
        <f t="shared" si="36"/>
        <v>L10 - Rm6</v>
      </c>
      <c r="N48" s="15" t="str">
        <f t="shared" si="36"/>
        <v>L10 - Rm7</v>
      </c>
      <c r="O48" s="15" t="str">
        <f t="shared" si="36"/>
        <v>L10 - Rm8</v>
      </c>
      <c r="P48" s="15" t="str">
        <f t="shared" si="36"/>
        <v>L10 - Rm9</v>
      </c>
      <c r="Q48" s="15" t="str">
        <f t="shared" si="36"/>
        <v>L10 - Rm10</v>
      </c>
    </row>
    <row r="49" spans="2:17" ht="15" customHeight="1" x14ac:dyDescent="0.25">
      <c r="B49" s="61"/>
      <c r="C49" s="13"/>
      <c r="D49" s="62"/>
      <c r="E49" s="13"/>
      <c r="F49" s="14" t="s">
        <v>1</v>
      </c>
      <c r="G49" s="13"/>
      <c r="H49" s="26">
        <f t="shared" ref="H49:Q49" si="37">H$2</f>
        <v>0</v>
      </c>
      <c r="I49" s="26">
        <f t="shared" si="37"/>
        <v>1</v>
      </c>
      <c r="J49" s="26">
        <f t="shared" si="37"/>
        <v>2</v>
      </c>
      <c r="K49" s="26">
        <f t="shared" si="37"/>
        <v>3</v>
      </c>
      <c r="L49" s="26">
        <f t="shared" si="37"/>
        <v>4</v>
      </c>
      <c r="M49" s="26">
        <f t="shared" si="37"/>
        <v>5</v>
      </c>
      <c r="N49" s="26">
        <f t="shared" si="37"/>
        <v>6</v>
      </c>
      <c r="O49" s="26">
        <f t="shared" si="37"/>
        <v>7</v>
      </c>
      <c r="P49" s="26">
        <f t="shared" si="37"/>
        <v>8</v>
      </c>
      <c r="Q49" s="26">
        <f t="shared" si="37"/>
        <v>9</v>
      </c>
    </row>
    <row r="50" spans="2:17" ht="15" customHeight="1" x14ac:dyDescent="0.25">
      <c r="B50" s="61"/>
      <c r="C50" s="13"/>
      <c r="D50" s="62"/>
      <c r="E50" s="13"/>
      <c r="F50" s="18" t="s">
        <v>2</v>
      </c>
      <c r="G50" s="13"/>
      <c r="H50" s="26" t="str">
        <f t="shared" ref="H50:Q50" si="38">((H$4+1)*Area_per_Room&amp;"-"&amp;((H$4+1)*Area_per_Room+(Area_per_Room-1)))</f>
        <v>20-39</v>
      </c>
      <c r="I50" s="26" t="str">
        <f t="shared" si="38"/>
        <v>40-59</v>
      </c>
      <c r="J50" s="26" t="str">
        <f t="shared" si="38"/>
        <v>60-79</v>
      </c>
      <c r="K50" s="26" t="str">
        <f t="shared" si="38"/>
        <v>80-99</v>
      </c>
      <c r="L50" s="26" t="str">
        <f t="shared" si="38"/>
        <v>100-119</v>
      </c>
      <c r="M50" s="26" t="str">
        <f t="shared" si="38"/>
        <v>120-139</v>
      </c>
      <c r="N50" s="26" t="str">
        <f t="shared" si="38"/>
        <v>140-159</v>
      </c>
      <c r="O50" s="26" t="str">
        <f t="shared" si="38"/>
        <v>160-179</v>
      </c>
      <c r="P50" s="26" t="str">
        <f t="shared" si="38"/>
        <v>180-199</v>
      </c>
      <c r="Q50" s="26" t="str">
        <f t="shared" si="38"/>
        <v>200-219</v>
      </c>
    </row>
    <row r="51" spans="2:17" ht="15" customHeight="1" x14ac:dyDescent="0.25">
      <c r="B51" s="61"/>
      <c r="C51" s="13"/>
      <c r="D51" s="62"/>
      <c r="E51" s="13"/>
      <c r="F51" s="18" t="s">
        <v>3</v>
      </c>
      <c r="G51" s="13"/>
      <c r="H51" s="26" t="str">
        <f t="shared" ref="H51:Q51" si="39">($D48+((H$4+1)*Area_per_Room)&amp;"-"&amp;($D48+((H$4+1)*Area_per_Room+(Area_per_Room-1))))</f>
        <v>10020-10039</v>
      </c>
      <c r="I51" s="26" t="str">
        <f t="shared" si="39"/>
        <v>10040-10059</v>
      </c>
      <c r="J51" s="26" t="str">
        <f t="shared" si="39"/>
        <v>10060-10079</v>
      </c>
      <c r="K51" s="26" t="str">
        <f t="shared" si="39"/>
        <v>10080-10099</v>
      </c>
      <c r="L51" s="26" t="str">
        <f t="shared" si="39"/>
        <v>10100-10119</v>
      </c>
      <c r="M51" s="26" t="str">
        <f t="shared" si="39"/>
        <v>10120-10139</v>
      </c>
      <c r="N51" s="26" t="str">
        <f t="shared" si="39"/>
        <v>10140-10159</v>
      </c>
      <c r="O51" s="26" t="str">
        <f t="shared" si="39"/>
        <v>10160-10179</v>
      </c>
      <c r="P51" s="26" t="str">
        <f t="shared" si="39"/>
        <v>10180-10199</v>
      </c>
      <c r="Q51" s="26" t="str">
        <f t="shared" si="39"/>
        <v>10200-10219</v>
      </c>
    </row>
    <row r="52" spans="2:17" ht="5.0999999999999996" customHeight="1" x14ac:dyDescent="0.25"/>
  </sheetData>
  <mergeCells count="21">
    <mergeCell ref="B18:B21"/>
    <mergeCell ref="D18:D21"/>
    <mergeCell ref="B23:B26"/>
    <mergeCell ref="D23:D26"/>
    <mergeCell ref="B43:B46"/>
    <mergeCell ref="D43:D46"/>
    <mergeCell ref="B48:B51"/>
    <mergeCell ref="D48:D51"/>
    <mergeCell ref="B28:B31"/>
    <mergeCell ref="D28:D31"/>
    <mergeCell ref="B33:B36"/>
    <mergeCell ref="D33:D36"/>
    <mergeCell ref="B38:B41"/>
    <mergeCell ref="D38:D41"/>
    <mergeCell ref="B13:B16"/>
    <mergeCell ref="D13:D16"/>
    <mergeCell ref="H1:AM1"/>
    <mergeCell ref="B3:B6"/>
    <mergeCell ref="D3:D6"/>
    <mergeCell ref="B8:B11"/>
    <mergeCell ref="D8:D1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Configuration"/>
  <dimension ref="A1:P14"/>
  <sheetViews>
    <sheetView tabSelected="1" workbookViewId="0">
      <selection activeCell="M18" sqref="M18"/>
    </sheetView>
  </sheetViews>
  <sheetFormatPr defaultRowHeight="15" customHeight="1" x14ac:dyDescent="0.25"/>
  <cols>
    <col min="1" max="1" width="6.42578125" bestFit="1" customWidth="1"/>
    <col min="2" max="2" width="9" customWidth="1"/>
    <col min="3" max="3" width="1" customWidth="1"/>
    <col min="5" max="5" width="1" customWidth="1"/>
    <col min="6" max="6" width="19.5703125" customWidth="1"/>
    <col min="7" max="7" width="1" customWidth="1"/>
    <col min="8" max="8" width="9.42578125" bestFit="1" customWidth="1"/>
    <col min="9" max="9" width="5" customWidth="1"/>
    <col min="10" max="11" width="2.5703125" customWidth="1"/>
    <col min="12" max="12" width="6.85546875" customWidth="1"/>
    <col min="13" max="13" width="36" bestFit="1" customWidth="1"/>
    <col min="14" max="14" width="15.85546875" bestFit="1" customWidth="1"/>
    <col min="15" max="15" width="13.42578125" bestFit="1" customWidth="1"/>
  </cols>
  <sheetData>
    <row r="1" spans="1:16" ht="15" customHeight="1" x14ac:dyDescent="0.25">
      <c r="A1" s="7" t="s">
        <v>42</v>
      </c>
      <c r="B1" s="8" t="s">
        <v>44</v>
      </c>
      <c r="C1" s="8"/>
      <c r="D1" s="8"/>
      <c r="E1" s="8"/>
      <c r="F1" s="8"/>
      <c r="G1" s="8"/>
      <c r="H1" s="8"/>
      <c r="I1" s="9"/>
      <c r="L1" s="7" t="s">
        <v>43</v>
      </c>
      <c r="M1" s="8" t="s">
        <v>49</v>
      </c>
      <c r="N1" s="8"/>
      <c r="O1" s="8"/>
      <c r="P1" s="9"/>
    </row>
    <row r="2" spans="1:16" s="34" customFormat="1" ht="15" customHeight="1" x14ac:dyDescent="0.25">
      <c r="A2" s="31"/>
      <c r="B2" s="32"/>
      <c r="C2" s="32"/>
      <c r="D2" s="32"/>
      <c r="E2" s="32"/>
      <c r="F2" s="32"/>
      <c r="G2" s="32"/>
      <c r="H2" s="32">
        <f>DipSwith_Starting_number</f>
        <v>0</v>
      </c>
      <c r="I2" s="33"/>
      <c r="L2" s="57"/>
      <c r="M2" s="58" t="s">
        <v>54</v>
      </c>
      <c r="N2" s="58" t="s">
        <v>55</v>
      </c>
      <c r="O2" s="59" t="s">
        <v>56</v>
      </c>
      <c r="P2" s="60" t="s">
        <v>57</v>
      </c>
    </row>
    <row r="3" spans="1:16" ht="15" customHeight="1" x14ac:dyDescent="0.25">
      <c r="A3" s="30">
        <v>1</v>
      </c>
      <c r="B3" s="61">
        <f>A3</f>
        <v>1</v>
      </c>
      <c r="C3" s="13"/>
      <c r="D3" s="62">
        <f>Floor_Offset_Difference*A3</f>
        <v>1000</v>
      </c>
      <c r="E3" s="13"/>
      <c r="F3" s="14" t="s">
        <v>4</v>
      </c>
      <c r="G3" s="13"/>
      <c r="H3" s="15" t="str">
        <f>IF($A3&lt;&gt;$B3, $B3,("L" &amp;$A3))&amp;" - "&amp;"Rm"&amp;(Room_Starting_Number+H4)</f>
        <v>L1 - Rm1</v>
      </c>
      <c r="I3" s="16"/>
      <c r="J3" s="6"/>
      <c r="K3" s="6"/>
      <c r="L3" s="35"/>
      <c r="M3" s="43" t="s">
        <v>8</v>
      </c>
      <c r="N3" s="44">
        <v>10</v>
      </c>
      <c r="O3" s="56"/>
      <c r="P3" s="33"/>
    </row>
    <row r="4" spans="1:16" ht="15" customHeight="1" x14ac:dyDescent="0.25">
      <c r="A4" s="29"/>
      <c r="B4" s="61"/>
      <c r="C4" s="13"/>
      <c r="D4" s="62"/>
      <c r="E4" s="13"/>
      <c r="F4" s="14" t="s">
        <v>1</v>
      </c>
      <c r="G4" s="13"/>
      <c r="H4" s="26">
        <f>H$2</f>
        <v>0</v>
      </c>
      <c r="I4" s="17"/>
      <c r="J4" s="1"/>
      <c r="K4" s="1"/>
      <c r="L4" s="22"/>
      <c r="M4" s="45" t="s">
        <v>11</v>
      </c>
      <c r="N4" s="46">
        <v>1000</v>
      </c>
      <c r="O4" s="47"/>
      <c r="P4" s="12"/>
    </row>
    <row r="5" spans="1:16" ht="15" customHeight="1" x14ac:dyDescent="0.25">
      <c r="A5" s="29"/>
      <c r="B5" s="61"/>
      <c r="C5" s="13"/>
      <c r="D5" s="62"/>
      <c r="E5" s="13"/>
      <c r="F5" s="18" t="s">
        <v>2</v>
      </c>
      <c r="G5" s="13"/>
      <c r="H5" s="26" t="str">
        <f>((H$4+1)*Area_per_Room&amp;"-"&amp;((H$4+1)*Area_per_Room+(Area_per_Room-1)))</f>
        <v>20-39</v>
      </c>
      <c r="I5" s="17"/>
      <c r="J5" s="1"/>
      <c r="K5" s="1"/>
      <c r="L5" s="22"/>
      <c r="M5" s="45" t="s">
        <v>12</v>
      </c>
      <c r="N5" s="46">
        <v>1</v>
      </c>
      <c r="O5" s="13"/>
      <c r="P5" s="12"/>
    </row>
    <row r="6" spans="1:16" ht="15" customHeight="1" x14ac:dyDescent="0.25">
      <c r="A6" s="29"/>
      <c r="B6" s="61"/>
      <c r="C6" s="13"/>
      <c r="D6" s="62"/>
      <c r="E6" s="13"/>
      <c r="F6" s="18" t="s">
        <v>3</v>
      </c>
      <c r="G6" s="13"/>
      <c r="H6" s="26" t="str">
        <f>($D3+((H$4+1)*Area_per_Room)&amp;"-"&amp;($D3+((H$4+1)*Area_per_Room+(Area_per_Room-1))))</f>
        <v>1020-1039</v>
      </c>
      <c r="I6" s="17"/>
      <c r="J6" s="1"/>
      <c r="K6" s="1"/>
      <c r="L6" s="22"/>
      <c r="M6" s="45" t="s">
        <v>14</v>
      </c>
      <c r="N6" s="46">
        <v>10</v>
      </c>
      <c r="O6" s="13"/>
      <c r="P6" s="12"/>
    </row>
    <row r="7" spans="1:16" ht="15" customHeight="1" thickBot="1" x14ac:dyDescent="0.3">
      <c r="A7" s="19"/>
      <c r="B7" s="20"/>
      <c r="C7" s="20"/>
      <c r="D7" s="20"/>
      <c r="E7" s="20"/>
      <c r="F7" s="20"/>
      <c r="G7" s="20"/>
      <c r="H7" s="20"/>
      <c r="I7" s="21"/>
      <c r="L7" s="22"/>
      <c r="M7" s="45" t="s">
        <v>48</v>
      </c>
      <c r="N7" s="46">
        <v>12</v>
      </c>
      <c r="O7" s="47"/>
      <c r="P7" s="48" t="str">
        <f>IF(Max_Room_Number_per_Floor&lt;Average_Number_of_Room_per_Floor, "&lt;= Are you sure?! [Max room number per floor] is smaller than [Average room number per floor]!", "")</f>
        <v/>
      </c>
    </row>
    <row r="8" spans="1:16" ht="15" customHeight="1" x14ac:dyDescent="0.25">
      <c r="L8" s="22"/>
      <c r="M8" s="45" t="s">
        <v>9</v>
      </c>
      <c r="N8" s="46">
        <v>20</v>
      </c>
      <c r="O8" s="47"/>
      <c r="P8" s="48"/>
    </row>
    <row r="9" spans="1:16" ht="15" customHeight="1" thickBot="1" x14ac:dyDescent="0.3">
      <c r="L9" s="24"/>
      <c r="M9" s="41"/>
      <c r="N9" s="50"/>
      <c r="O9" s="51"/>
      <c r="P9" s="52"/>
    </row>
    <row r="10" spans="1:16" ht="15" customHeight="1" x14ac:dyDescent="0.25">
      <c r="A10" s="7" t="s">
        <v>47</v>
      </c>
      <c r="B10" s="8"/>
      <c r="C10" s="8"/>
      <c r="D10" s="8"/>
      <c r="E10" s="8"/>
      <c r="F10" s="8"/>
      <c r="G10" s="8"/>
      <c r="H10" s="8"/>
      <c r="I10" s="9"/>
      <c r="L10" s="1"/>
    </row>
    <row r="11" spans="1:16" ht="15" customHeight="1" x14ac:dyDescent="0.25">
      <c r="A11" s="10"/>
      <c r="B11" s="11"/>
      <c r="C11" s="11"/>
      <c r="D11" s="11"/>
      <c r="E11" s="11"/>
      <c r="F11" s="11"/>
      <c r="G11" s="11"/>
      <c r="H11" s="11"/>
      <c r="I11" s="12"/>
      <c r="L11" s="1"/>
      <c r="O11" s="55"/>
    </row>
    <row r="12" spans="1:16" ht="15" customHeight="1" x14ac:dyDescent="0.25">
      <c r="A12" s="10"/>
      <c r="B12" s="11"/>
      <c r="C12" s="11"/>
      <c r="D12" s="11"/>
      <c r="E12" s="11"/>
      <c r="F12" s="11"/>
      <c r="G12" s="11"/>
      <c r="H12" s="11"/>
      <c r="I12" s="12"/>
      <c r="O12" s="54"/>
    </row>
    <row r="13" spans="1:16" ht="15" customHeight="1" x14ac:dyDescent="0.25">
      <c r="A13" s="10"/>
      <c r="B13" s="11"/>
      <c r="C13" s="11"/>
      <c r="D13" s="11"/>
      <c r="E13" s="11"/>
      <c r="F13" s="13"/>
      <c r="G13" s="11"/>
      <c r="H13" s="13"/>
      <c r="I13" s="17"/>
      <c r="J13" s="1"/>
      <c r="K13" s="1"/>
      <c r="O13" s="1"/>
    </row>
    <row r="14" spans="1:16" ht="15" customHeight="1" thickBot="1" x14ac:dyDescent="0.3">
      <c r="A14" s="19"/>
      <c r="B14" s="20"/>
      <c r="C14" s="20"/>
      <c r="D14" s="20"/>
      <c r="E14" s="20"/>
      <c r="F14" s="27"/>
      <c r="G14" s="20"/>
      <c r="H14" s="27"/>
      <c r="I14" s="28"/>
      <c r="J14" s="1"/>
      <c r="K14" s="1"/>
    </row>
  </sheetData>
  <mergeCells count="2">
    <mergeCell ref="B3:B6"/>
    <mergeCell ref="D3:D6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Run_Layout_process">
          <controlPr defaultSize="0" autoLine="0" autoPict="0" r:id="rId5">
            <anchor moveWithCells="1">
              <from>
                <xdr:col>1</xdr:col>
                <xdr:colOff>104775</xdr:colOff>
                <xdr:row>10</xdr:row>
                <xdr:rowOff>28575</xdr:rowOff>
              </from>
              <to>
                <xdr:col>5</xdr:col>
                <xdr:colOff>228600</xdr:colOff>
                <xdr:row>13</xdr:row>
                <xdr:rowOff>28575</xdr:rowOff>
              </to>
            </anchor>
          </controlPr>
        </control>
      </mc:Choice>
      <mc:Fallback>
        <control shapeId="3073" r:id="rId4" name="Run_Layout_proces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Ref"/>
  <dimension ref="A1:R40"/>
  <sheetViews>
    <sheetView zoomScale="85" zoomScaleNormal="85" workbookViewId="0">
      <selection activeCell="B14" sqref="B14"/>
    </sheetView>
  </sheetViews>
  <sheetFormatPr defaultRowHeight="15" x14ac:dyDescent="0.25"/>
  <cols>
    <col min="2" max="2" width="31.28515625" bestFit="1" customWidth="1"/>
    <col min="3" max="3" width="8.7109375" customWidth="1"/>
    <col min="5" max="5" width="2.7109375" customWidth="1"/>
    <col min="6" max="6" width="7.5703125" customWidth="1"/>
    <col min="7" max="7" width="35.28515625" bestFit="1" customWidth="1"/>
    <col min="8" max="8" width="3.85546875" bestFit="1" customWidth="1"/>
    <col min="9" max="9" width="8.85546875" bestFit="1" customWidth="1"/>
    <col min="10" max="10" width="2.7109375" customWidth="1"/>
    <col min="11" max="11" width="5.42578125" customWidth="1"/>
    <col min="12" max="12" width="35.28515625" bestFit="1" customWidth="1"/>
    <col min="13" max="13" width="2.5703125" bestFit="1" customWidth="1"/>
    <col min="14" max="14" width="9.5703125" bestFit="1" customWidth="1"/>
    <col min="15" max="15" width="35.28515625" bestFit="1" customWidth="1"/>
    <col min="16" max="16" width="8.85546875" bestFit="1" customWidth="1"/>
  </cols>
  <sheetData>
    <row r="1" spans="1:18" ht="15.75" customHeight="1" x14ac:dyDescent="0.25"/>
    <row r="2" spans="1:18" ht="15" customHeight="1" x14ac:dyDescent="0.25"/>
    <row r="3" spans="1:18" s="1" customFormat="1" ht="15" customHeight="1" x14ac:dyDescent="0.25"/>
    <row r="4" spans="1:18" s="1" customFormat="1" ht="15" customHeight="1" x14ac:dyDescent="0.25"/>
    <row r="5" spans="1:18" s="1" customFormat="1" ht="15" customHeight="1" x14ac:dyDescent="0.25"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</row>
    <row r="6" spans="1:18" s="1" customFormat="1" ht="15" customHeight="1" thickBot="1" x14ac:dyDescent="0.3"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</row>
    <row r="7" spans="1:18" ht="15.75" customHeight="1" x14ac:dyDescent="0.25">
      <c r="A7" s="23" t="s">
        <v>50</v>
      </c>
      <c r="C7" s="11"/>
      <c r="D7" s="11"/>
      <c r="E7" s="36"/>
      <c r="F7" s="8"/>
      <c r="G7" s="8"/>
      <c r="H7" s="8"/>
      <c r="I7" s="9"/>
      <c r="J7" s="11"/>
      <c r="K7" s="36"/>
      <c r="L7" s="8" t="s">
        <v>46</v>
      </c>
      <c r="M7" s="8"/>
      <c r="N7" s="8"/>
      <c r="O7" s="8"/>
      <c r="P7" s="8"/>
      <c r="Q7" s="9"/>
      <c r="R7" s="11"/>
    </row>
    <row r="8" spans="1:18" ht="15" customHeight="1" x14ac:dyDescent="0.25">
      <c r="B8" s="53" t="s">
        <v>13</v>
      </c>
      <c r="C8" s="49">
        <v>0</v>
      </c>
      <c r="D8" s="11"/>
      <c r="E8" s="10"/>
      <c r="F8" s="40" t="s">
        <v>45</v>
      </c>
      <c r="G8" s="11"/>
      <c r="H8" s="11"/>
      <c r="I8" s="12"/>
      <c r="J8" s="11"/>
      <c r="K8" s="10"/>
      <c r="L8" s="11" t="str">
        <f>F8</f>
        <v>'SheetConfiguration</v>
      </c>
      <c r="M8" s="11"/>
      <c r="N8" s="11"/>
      <c r="O8" s="11"/>
      <c r="P8" s="11"/>
      <c r="Q8" s="12"/>
      <c r="R8" s="11"/>
    </row>
    <row r="9" spans="1:18" x14ac:dyDescent="0.25">
      <c r="B9" s="53" t="s">
        <v>10</v>
      </c>
      <c r="C9" s="49">
        <v>1</v>
      </c>
      <c r="D9" s="11"/>
      <c r="E9" s="10"/>
      <c r="F9" s="37" t="s">
        <v>15</v>
      </c>
      <c r="G9" s="42" t="s">
        <v>8</v>
      </c>
      <c r="H9" s="37" t="s">
        <v>16</v>
      </c>
      <c r="I9" s="38" t="s">
        <v>53</v>
      </c>
      <c r="J9" s="37"/>
      <c r="K9" s="39"/>
      <c r="L9" s="37" t="str">
        <f t="shared" ref="L9:L13" si="0">G9</f>
        <v>Number_of_Floor</v>
      </c>
      <c r="M9" s="40" t="s">
        <v>18</v>
      </c>
      <c r="N9" s="37" t="s">
        <v>19</v>
      </c>
      <c r="O9" s="37" t="str">
        <f t="shared" ref="O9:O13" si="1">L9</f>
        <v>Number_of_Floor</v>
      </c>
      <c r="P9" s="37" t="s">
        <v>20</v>
      </c>
      <c r="Q9" s="12"/>
      <c r="R9" s="11"/>
    </row>
    <row r="10" spans="1:18" x14ac:dyDescent="0.25">
      <c r="B10" s="53" t="s">
        <v>51</v>
      </c>
      <c r="C10" s="11">
        <v>65535</v>
      </c>
      <c r="D10" s="11"/>
      <c r="E10" s="10"/>
      <c r="F10" s="37" t="s">
        <v>15</v>
      </c>
      <c r="G10" s="23" t="s">
        <v>11</v>
      </c>
      <c r="H10" s="37" t="s">
        <v>16</v>
      </c>
      <c r="I10" s="38" t="s">
        <v>53</v>
      </c>
      <c r="J10" s="37"/>
      <c r="K10" s="39"/>
      <c r="L10" s="37" t="str">
        <f t="shared" si="0"/>
        <v>Floor_Offset_Difference</v>
      </c>
      <c r="M10" s="40" t="s">
        <v>18</v>
      </c>
      <c r="N10" s="37" t="s">
        <v>19</v>
      </c>
      <c r="O10" s="37" t="str">
        <f t="shared" si="1"/>
        <v>Floor_Offset_Difference</v>
      </c>
      <c r="P10" s="37" t="s">
        <v>20</v>
      </c>
      <c r="Q10" s="12"/>
      <c r="R10" s="11"/>
    </row>
    <row r="11" spans="1:18" x14ac:dyDescent="0.25">
      <c r="B11" s="53" t="s">
        <v>52</v>
      </c>
      <c r="C11" s="11"/>
      <c r="D11" s="11"/>
      <c r="E11" s="10"/>
      <c r="F11" s="37" t="s">
        <v>15</v>
      </c>
      <c r="G11" s="23" t="s">
        <v>12</v>
      </c>
      <c r="H11" s="37" t="s">
        <v>16</v>
      </c>
      <c r="I11" s="38" t="s">
        <v>53</v>
      </c>
      <c r="J11" s="37"/>
      <c r="K11" s="39"/>
      <c r="L11" s="37" t="str">
        <f t="shared" si="0"/>
        <v>Room_Starting_Number</v>
      </c>
      <c r="M11" s="40" t="s">
        <v>18</v>
      </c>
      <c r="N11" s="37" t="s">
        <v>19</v>
      </c>
      <c r="O11" s="37" t="str">
        <f t="shared" si="1"/>
        <v>Room_Starting_Number</v>
      </c>
      <c r="P11" s="37" t="s">
        <v>20</v>
      </c>
      <c r="Q11" s="12"/>
      <c r="R11" s="11"/>
    </row>
    <row r="12" spans="1:18" x14ac:dyDescent="0.25">
      <c r="B12" s="53" t="s">
        <v>58</v>
      </c>
      <c r="C12" t="b">
        <v>0</v>
      </c>
      <c r="D12" s="11"/>
      <c r="E12" s="10"/>
      <c r="F12" s="37" t="s">
        <v>15</v>
      </c>
      <c r="G12" s="23" t="s">
        <v>14</v>
      </c>
      <c r="H12" s="37" t="s">
        <v>16</v>
      </c>
      <c r="I12" s="38" t="s">
        <v>53</v>
      </c>
      <c r="J12" s="37"/>
      <c r="K12" s="39"/>
      <c r="L12" s="37" t="str">
        <f t="shared" si="0"/>
        <v>Average_Number_of_Room_per_Floor</v>
      </c>
      <c r="M12" s="40" t="s">
        <v>18</v>
      </c>
      <c r="N12" s="37" t="s">
        <v>19</v>
      </c>
      <c r="O12" s="37" t="str">
        <f t="shared" si="1"/>
        <v>Average_Number_of_Room_per_Floor</v>
      </c>
      <c r="P12" s="37" t="s">
        <v>20</v>
      </c>
      <c r="Q12" s="12"/>
      <c r="R12" s="11"/>
    </row>
    <row r="13" spans="1:18" ht="15.75" customHeight="1" x14ac:dyDescent="0.25">
      <c r="D13" s="11"/>
      <c r="E13" s="10"/>
      <c r="F13" s="37" t="s">
        <v>15</v>
      </c>
      <c r="G13" s="23" t="s">
        <v>48</v>
      </c>
      <c r="H13" s="37" t="s">
        <v>16</v>
      </c>
      <c r="I13" s="38" t="s">
        <v>53</v>
      </c>
      <c r="J13" s="37"/>
      <c r="K13" s="39"/>
      <c r="L13" s="37" t="str">
        <f t="shared" si="0"/>
        <v>Max_Room_Number_per_Floor</v>
      </c>
      <c r="M13" s="40" t="s">
        <v>18</v>
      </c>
      <c r="N13" s="37" t="s">
        <v>19</v>
      </c>
      <c r="O13" s="37" t="str">
        <f t="shared" si="1"/>
        <v>Max_Room_Number_per_Floor</v>
      </c>
      <c r="P13" s="37" t="s">
        <v>20</v>
      </c>
      <c r="Q13" s="12"/>
      <c r="R13" s="11"/>
    </row>
    <row r="14" spans="1:18" ht="15" customHeight="1" x14ac:dyDescent="0.25">
      <c r="D14" s="11"/>
      <c r="E14" s="10"/>
      <c r="F14" s="37" t="s">
        <v>15</v>
      </c>
      <c r="G14" s="23" t="s">
        <v>13</v>
      </c>
      <c r="H14" s="37" t="s">
        <v>16</v>
      </c>
      <c r="I14" s="38" t="s">
        <v>53</v>
      </c>
      <c r="J14" s="37"/>
      <c r="K14" s="39"/>
      <c r="L14" s="37" t="str">
        <f t="shared" ref="L14:L15" si="2">G14</f>
        <v>DipSwith_Starting_number</v>
      </c>
      <c r="M14" s="40" t="s">
        <v>18</v>
      </c>
      <c r="N14" s="37" t="s">
        <v>19</v>
      </c>
      <c r="O14" s="37" t="str">
        <f t="shared" ref="O14:O15" si="3">L14</f>
        <v>DipSwith_Starting_number</v>
      </c>
      <c r="P14" s="37" t="s">
        <v>20</v>
      </c>
      <c r="Q14" s="12"/>
      <c r="R14" s="11"/>
    </row>
    <row r="15" spans="1:18" ht="15" customHeight="1" x14ac:dyDescent="0.25">
      <c r="D15" s="11"/>
      <c r="E15" s="10"/>
      <c r="F15" s="37" t="s">
        <v>15</v>
      </c>
      <c r="G15" s="23" t="s">
        <v>10</v>
      </c>
      <c r="H15" s="37" t="s">
        <v>16</v>
      </c>
      <c r="I15" s="38" t="s">
        <v>53</v>
      </c>
      <c r="J15" s="11"/>
      <c r="K15" s="10"/>
      <c r="L15" s="37" t="str">
        <f t="shared" si="2"/>
        <v>DipSwitch_per_Room</v>
      </c>
      <c r="M15" s="40" t="s">
        <v>18</v>
      </c>
      <c r="N15" s="37" t="s">
        <v>19</v>
      </c>
      <c r="O15" s="37" t="str">
        <f t="shared" si="3"/>
        <v>DipSwitch_per_Room</v>
      </c>
      <c r="P15" s="37" t="s">
        <v>20</v>
      </c>
      <c r="Q15" s="12"/>
      <c r="R15" s="11"/>
    </row>
    <row r="16" spans="1:18" ht="15" customHeight="1" x14ac:dyDescent="0.25">
      <c r="D16" s="11"/>
      <c r="E16" s="10"/>
      <c r="F16" s="37" t="s">
        <v>15</v>
      </c>
      <c r="G16" s="23" t="s">
        <v>9</v>
      </c>
      <c r="H16" s="37" t="s">
        <v>16</v>
      </c>
      <c r="I16" s="38" t="s">
        <v>53</v>
      </c>
      <c r="J16" s="11"/>
      <c r="K16" s="10"/>
      <c r="L16" s="37" t="str">
        <f t="shared" ref="L16" si="4">G16</f>
        <v>Area_per_Room</v>
      </c>
      <c r="M16" s="40" t="s">
        <v>18</v>
      </c>
      <c r="N16" s="37" t="s">
        <v>19</v>
      </c>
      <c r="O16" s="37" t="str">
        <f t="shared" ref="O16" si="5">L16</f>
        <v>Area_per_Room</v>
      </c>
      <c r="P16" s="37" t="s">
        <v>20</v>
      </c>
      <c r="Q16" s="12"/>
      <c r="R16" s="11"/>
    </row>
    <row r="17" spans="4:18" ht="15" customHeight="1" x14ac:dyDescent="0.25">
      <c r="D17" s="11"/>
      <c r="E17" s="10"/>
      <c r="F17" s="37" t="s">
        <v>15</v>
      </c>
      <c r="G17" s="53" t="s">
        <v>51</v>
      </c>
      <c r="H17" s="37" t="s">
        <v>16</v>
      </c>
      <c r="I17" s="38" t="s">
        <v>53</v>
      </c>
      <c r="J17" s="11"/>
      <c r="K17" s="10"/>
      <c r="L17" s="37" t="str">
        <f t="shared" ref="L17" si="6">G17</f>
        <v>Max_Area_Number_per_Building</v>
      </c>
      <c r="M17" s="40" t="s">
        <v>18</v>
      </c>
      <c r="N17" s="37" t="s">
        <v>19</v>
      </c>
      <c r="O17" s="37" t="str">
        <f t="shared" ref="O17" si="7">L17</f>
        <v>Max_Area_Number_per_Building</v>
      </c>
      <c r="P17" s="37" t="s">
        <v>20</v>
      </c>
      <c r="Q17" s="12"/>
      <c r="R17" s="11"/>
    </row>
    <row r="18" spans="4:18" ht="15" customHeight="1" x14ac:dyDescent="0.25">
      <c r="D18" s="11"/>
      <c r="E18" s="10"/>
      <c r="F18" s="37" t="s">
        <v>15</v>
      </c>
      <c r="G18" s="53" t="s">
        <v>52</v>
      </c>
      <c r="H18" s="37" t="s">
        <v>16</v>
      </c>
      <c r="I18" s="38" t="s">
        <v>53</v>
      </c>
      <c r="J18" s="11"/>
      <c r="K18" s="10"/>
      <c r="L18" s="37" t="str">
        <f t="shared" ref="L18" si="8">G18</f>
        <v>Required_Biggest_Area_Number</v>
      </c>
      <c r="M18" s="40" t="s">
        <v>18</v>
      </c>
      <c r="N18" s="37" t="s">
        <v>19</v>
      </c>
      <c r="O18" s="37" t="str">
        <f t="shared" ref="O18" si="9">L18</f>
        <v>Required_Biggest_Area_Number</v>
      </c>
      <c r="P18" s="37" t="s">
        <v>20</v>
      </c>
      <c r="Q18" s="12"/>
      <c r="R18" s="11"/>
    </row>
    <row r="19" spans="4:18" ht="15" customHeight="1" x14ac:dyDescent="0.25">
      <c r="D19" s="11"/>
      <c r="E19" s="10"/>
      <c r="F19" s="37" t="s">
        <v>15</v>
      </c>
      <c r="G19" s="53" t="s">
        <v>58</v>
      </c>
      <c r="H19" s="37" t="s">
        <v>16</v>
      </c>
      <c r="I19" s="38" t="s">
        <v>59</v>
      </c>
      <c r="J19" s="11"/>
      <c r="K19" s="10"/>
      <c r="L19" s="37" t="str">
        <f t="shared" ref="L19" si="10">G19</f>
        <v>Do_Not_Show_Welcome_Info</v>
      </c>
      <c r="M19" s="40" t="s">
        <v>18</v>
      </c>
      <c r="N19" s="37" t="s">
        <v>19</v>
      </c>
      <c r="O19" s="37" t="str">
        <f t="shared" ref="O19" si="11">L19</f>
        <v>Do_Not_Show_Welcome_Info</v>
      </c>
      <c r="P19" s="37" t="s">
        <v>20</v>
      </c>
      <c r="Q19" s="12"/>
      <c r="R19" s="11"/>
    </row>
    <row r="20" spans="4:18" ht="15" customHeight="1" thickBot="1" x14ac:dyDescent="0.3">
      <c r="D20" s="11"/>
      <c r="E20" s="19"/>
      <c r="F20" s="20"/>
      <c r="G20" s="41"/>
      <c r="H20" s="20"/>
      <c r="I20" s="21"/>
      <c r="J20" s="11"/>
      <c r="K20" s="10"/>
      <c r="M20" s="11"/>
      <c r="N20" s="11"/>
      <c r="O20" s="11"/>
      <c r="P20" s="11"/>
      <c r="Q20" s="12"/>
      <c r="R20" s="11"/>
    </row>
    <row r="21" spans="4:18" x14ac:dyDescent="0.25">
      <c r="D21" s="11"/>
      <c r="E21" s="11"/>
      <c r="F21" s="11"/>
      <c r="G21" s="23"/>
      <c r="H21" s="11"/>
      <c r="I21" s="11"/>
      <c r="J21" s="11"/>
      <c r="K21" s="10"/>
      <c r="L21" s="37" t="s">
        <v>38</v>
      </c>
      <c r="M21" s="11"/>
      <c r="N21" s="11"/>
      <c r="O21" s="11"/>
      <c r="P21" s="11"/>
      <c r="Q21" s="12"/>
      <c r="R21" s="11"/>
    </row>
    <row r="22" spans="4:18" ht="15.75" thickBot="1" x14ac:dyDescent="0.3">
      <c r="D22" s="11"/>
      <c r="E22" s="11"/>
      <c r="F22" s="11"/>
      <c r="G22" s="23"/>
      <c r="H22" s="11"/>
      <c r="I22" s="11"/>
      <c r="J22" s="11"/>
      <c r="K22" s="19"/>
      <c r="L22" s="20"/>
      <c r="M22" s="20"/>
      <c r="N22" s="20"/>
      <c r="O22" s="20"/>
      <c r="P22" s="20"/>
      <c r="Q22" s="21"/>
      <c r="R22" s="11"/>
    </row>
    <row r="23" spans="4:18" x14ac:dyDescent="0.25">
      <c r="D23" s="11"/>
      <c r="E23" s="11"/>
      <c r="F23" s="11"/>
      <c r="G23" s="23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</row>
    <row r="24" spans="4:18" x14ac:dyDescent="0.25">
      <c r="F24" s="4" t="s">
        <v>39</v>
      </c>
      <c r="G24" s="3"/>
      <c r="H24" s="3"/>
      <c r="I24" s="3"/>
      <c r="J24" s="3"/>
      <c r="K24" s="3"/>
      <c r="L24" s="4" t="str">
        <f>F24</f>
        <v>'SheetRef</v>
      </c>
      <c r="M24" s="4"/>
      <c r="N24" s="3"/>
      <c r="O24" s="3"/>
      <c r="P24" s="3"/>
    </row>
    <row r="25" spans="4:18" x14ac:dyDescent="0.25">
      <c r="E25" s="5" t="s">
        <v>40</v>
      </c>
      <c r="F25" s="3" t="s">
        <v>15</v>
      </c>
      <c r="G25" s="3" t="s">
        <v>23</v>
      </c>
      <c r="H25" s="3" t="s">
        <v>16</v>
      </c>
      <c r="I25" s="3" t="s">
        <v>21</v>
      </c>
      <c r="J25" s="3"/>
      <c r="K25" s="5" t="s">
        <v>40</v>
      </c>
      <c r="L25" s="3" t="str">
        <f t="shared" ref="L25:L39" si="12">G25</f>
        <v xml:space="preserve">per_MCU_rs485_cable_length </v>
      </c>
      <c r="M25" s="4" t="s">
        <v>18</v>
      </c>
      <c r="N25" s="3" t="s">
        <v>19</v>
      </c>
      <c r="O25" s="3" t="str">
        <f t="shared" ref="O25:O39" si="13">L25</f>
        <v xml:space="preserve">per_MCU_rs485_cable_length </v>
      </c>
      <c r="P25" s="3" t="s">
        <v>20</v>
      </c>
    </row>
    <row r="26" spans="4:18" x14ac:dyDescent="0.25">
      <c r="E26" s="5" t="s">
        <v>40</v>
      </c>
      <c r="F26" s="3" t="s">
        <v>15</v>
      </c>
      <c r="G26" s="3" t="s">
        <v>24</v>
      </c>
      <c r="H26" s="3" t="s">
        <v>16</v>
      </c>
      <c r="I26" s="3" t="s">
        <v>21</v>
      </c>
      <c r="J26" s="3"/>
      <c r="K26" s="5" t="s">
        <v>40</v>
      </c>
      <c r="L26" s="3" t="str">
        <f t="shared" si="12"/>
        <v>per_repeater_rs485_cable_length</v>
      </c>
      <c r="M26" s="4" t="s">
        <v>18</v>
      </c>
      <c r="N26" s="3" t="s">
        <v>19</v>
      </c>
      <c r="O26" s="3" t="str">
        <f t="shared" si="13"/>
        <v>per_repeater_rs485_cable_length</v>
      </c>
      <c r="P26" s="3" t="s">
        <v>20</v>
      </c>
    </row>
    <row r="27" spans="4:18" x14ac:dyDescent="0.25">
      <c r="E27" s="5" t="s">
        <v>40</v>
      </c>
      <c r="F27" s="3" t="s">
        <v>15</v>
      </c>
      <c r="G27" s="3" t="s">
        <v>25</v>
      </c>
      <c r="H27" s="3" t="s">
        <v>16</v>
      </c>
      <c r="I27" s="3" t="s">
        <v>21</v>
      </c>
      <c r="J27" s="3"/>
      <c r="K27" s="5" t="s">
        <v>40</v>
      </c>
      <c r="L27" s="3" t="str">
        <f t="shared" si="12"/>
        <v>max_dali_cable_length</v>
      </c>
      <c r="M27" s="4" t="s">
        <v>18</v>
      </c>
      <c r="N27" s="3" t="s">
        <v>19</v>
      </c>
      <c r="O27" s="3" t="str">
        <f t="shared" si="13"/>
        <v>max_dali_cable_length</v>
      </c>
      <c r="P27" s="3" t="s">
        <v>20</v>
      </c>
    </row>
    <row r="28" spans="4:18" x14ac:dyDescent="0.25">
      <c r="E28" s="5" t="s">
        <v>40</v>
      </c>
      <c r="F28" s="3" t="s">
        <v>15</v>
      </c>
      <c r="G28" s="3" t="s">
        <v>26</v>
      </c>
      <c r="H28" s="3" t="s">
        <v>16</v>
      </c>
      <c r="I28" s="3" t="s">
        <v>22</v>
      </c>
      <c r="J28" s="3"/>
      <c r="K28" s="5" t="s">
        <v>40</v>
      </c>
      <c r="L28" s="3" t="str">
        <f t="shared" si="12"/>
        <v>max_driver_per_DGG</v>
      </c>
      <c r="M28" s="4" t="s">
        <v>18</v>
      </c>
      <c r="N28" s="3" t="s">
        <v>19</v>
      </c>
      <c r="O28" s="3" t="str">
        <f t="shared" si="13"/>
        <v>max_driver_per_DGG</v>
      </c>
      <c r="P28" s="3" t="s">
        <v>20</v>
      </c>
    </row>
    <row r="29" spans="4:18" x14ac:dyDescent="0.25">
      <c r="E29" s="5" t="s">
        <v>40</v>
      </c>
      <c r="F29" s="3" t="s">
        <v>15</v>
      </c>
      <c r="G29" s="3" t="s">
        <v>27</v>
      </c>
      <c r="H29" s="3" t="s">
        <v>16</v>
      </c>
      <c r="I29" s="3" t="s">
        <v>21</v>
      </c>
      <c r="J29" s="3"/>
      <c r="K29" s="5" t="s">
        <v>40</v>
      </c>
      <c r="L29" s="3" t="str">
        <f t="shared" si="12"/>
        <v>max_order_dali_cable_length</v>
      </c>
      <c r="M29" s="4" t="s">
        <v>18</v>
      </c>
      <c r="N29" s="3" t="s">
        <v>19</v>
      </c>
      <c r="O29" s="3" t="str">
        <f t="shared" si="13"/>
        <v>max_order_dali_cable_length</v>
      </c>
      <c r="P29" s="3" t="s">
        <v>20</v>
      </c>
    </row>
    <row r="30" spans="4:18" x14ac:dyDescent="0.25">
      <c r="E30" s="5" t="s">
        <v>40</v>
      </c>
      <c r="F30" s="3" t="s">
        <v>15</v>
      </c>
      <c r="G30" s="3" t="s">
        <v>28</v>
      </c>
      <c r="H30" s="3" t="s">
        <v>16</v>
      </c>
      <c r="I30" s="3" t="s">
        <v>21</v>
      </c>
      <c r="J30" s="3"/>
      <c r="K30" s="5" t="s">
        <v>40</v>
      </c>
      <c r="L30" s="3" t="str">
        <f t="shared" si="12"/>
        <v>max_order_rs485_cable_length</v>
      </c>
      <c r="M30" s="4" t="s">
        <v>18</v>
      </c>
      <c r="N30" s="3" t="s">
        <v>19</v>
      </c>
      <c r="O30" s="3" t="str">
        <f t="shared" si="13"/>
        <v>max_order_rs485_cable_length</v>
      </c>
      <c r="P30" s="3" t="s">
        <v>20</v>
      </c>
    </row>
    <row r="31" spans="4:18" x14ac:dyDescent="0.25">
      <c r="E31" s="5" t="s">
        <v>40</v>
      </c>
      <c r="F31" s="3" t="s">
        <v>15</v>
      </c>
      <c r="G31" s="3" t="s">
        <v>29</v>
      </c>
      <c r="H31" s="3" t="s">
        <v>16</v>
      </c>
      <c r="I31" s="3" t="s">
        <v>22</v>
      </c>
      <c r="J31" s="3"/>
      <c r="K31" s="5" t="s">
        <v>40</v>
      </c>
      <c r="L31" s="3" t="str">
        <f t="shared" si="12"/>
        <v>max_DGG_per_MCU</v>
      </c>
      <c r="M31" s="4" t="s">
        <v>18</v>
      </c>
      <c r="N31" s="3" t="s">
        <v>19</v>
      </c>
      <c r="O31" s="3" t="str">
        <f t="shared" si="13"/>
        <v>max_DGG_per_MCU</v>
      </c>
      <c r="P31" s="3" t="s">
        <v>20</v>
      </c>
    </row>
    <row r="32" spans="4:18" x14ac:dyDescent="0.25">
      <c r="E32" s="5" t="s">
        <v>40</v>
      </c>
      <c r="F32" s="3" t="s">
        <v>15</v>
      </c>
      <c r="G32" s="3" t="s">
        <v>30</v>
      </c>
      <c r="H32" s="3" t="s">
        <v>16</v>
      </c>
      <c r="I32" s="3" t="s">
        <v>22</v>
      </c>
      <c r="J32" s="3"/>
      <c r="K32" s="5" t="s">
        <v>40</v>
      </c>
      <c r="L32" s="3" t="str">
        <f t="shared" si="12"/>
        <v>max_photometer_per_MCU</v>
      </c>
      <c r="M32" s="4" t="s">
        <v>18</v>
      </c>
      <c r="N32" s="3" t="s">
        <v>19</v>
      </c>
      <c r="O32" s="3" t="str">
        <f t="shared" si="13"/>
        <v>max_photometer_per_MCU</v>
      </c>
      <c r="P32" s="3" t="s">
        <v>20</v>
      </c>
    </row>
    <row r="33" spans="5:16" x14ac:dyDescent="0.25">
      <c r="E33" s="5" t="s">
        <v>40</v>
      </c>
      <c r="F33" s="3" t="s">
        <v>15</v>
      </c>
      <c r="G33" s="3" t="s">
        <v>31</v>
      </c>
      <c r="H33" s="3" t="s">
        <v>16</v>
      </c>
      <c r="I33" s="3" t="s">
        <v>22</v>
      </c>
      <c r="J33" s="3"/>
      <c r="K33" s="5" t="s">
        <v>40</v>
      </c>
      <c r="L33" s="3" t="str">
        <f t="shared" si="12"/>
        <v>MCU_in_use</v>
      </c>
      <c r="M33" s="4" t="s">
        <v>18</v>
      </c>
      <c r="N33" s="3" t="s">
        <v>19</v>
      </c>
      <c r="O33" s="3" t="str">
        <f t="shared" si="13"/>
        <v>MCU_in_use</v>
      </c>
      <c r="P33" s="3" t="s">
        <v>20</v>
      </c>
    </row>
    <row r="34" spans="5:16" x14ac:dyDescent="0.25">
      <c r="E34" s="5" t="s">
        <v>40</v>
      </c>
      <c r="F34" s="3" t="s">
        <v>15</v>
      </c>
      <c r="G34" s="3" t="s">
        <v>32</v>
      </c>
      <c r="H34" s="3" t="s">
        <v>16</v>
      </c>
      <c r="I34" s="3" t="s">
        <v>22</v>
      </c>
      <c r="J34" s="3"/>
      <c r="K34" s="5" t="s">
        <v>40</v>
      </c>
      <c r="L34" s="3" t="str">
        <f t="shared" si="12"/>
        <v>Control_groups_in_use</v>
      </c>
      <c r="M34" s="4" t="s">
        <v>18</v>
      </c>
      <c r="N34" s="3" t="s">
        <v>19</v>
      </c>
      <c r="O34" s="3" t="str">
        <f t="shared" si="13"/>
        <v>Control_groups_in_use</v>
      </c>
      <c r="P34" s="3" t="s">
        <v>20</v>
      </c>
    </row>
    <row r="35" spans="5:16" x14ac:dyDescent="0.25">
      <c r="E35" s="5" t="s">
        <v>40</v>
      </c>
      <c r="F35" s="3" t="s">
        <v>15</v>
      </c>
      <c r="G35" s="3" t="s">
        <v>33</v>
      </c>
      <c r="H35" s="3" t="s">
        <v>16</v>
      </c>
      <c r="I35" s="3" t="s">
        <v>21</v>
      </c>
      <c r="J35" s="3"/>
      <c r="K35" s="5" t="s">
        <v>40</v>
      </c>
      <c r="L35" s="3" t="str">
        <f t="shared" si="12"/>
        <v>DGG_looping_rs485_length</v>
      </c>
      <c r="M35" s="4" t="s">
        <v>18</v>
      </c>
      <c r="N35" s="3" t="s">
        <v>19</v>
      </c>
      <c r="O35" s="3" t="str">
        <f t="shared" si="13"/>
        <v>DGG_looping_rs485_length</v>
      </c>
      <c r="P35" s="3" t="s">
        <v>20</v>
      </c>
    </row>
    <row r="36" spans="5:16" x14ac:dyDescent="0.25">
      <c r="E36" s="5" t="s">
        <v>40</v>
      </c>
      <c r="F36" s="3" t="s">
        <v>15</v>
      </c>
      <c r="G36" s="3" t="s">
        <v>34</v>
      </c>
      <c r="H36" s="3" t="s">
        <v>16</v>
      </c>
      <c r="I36" s="3" t="s">
        <v>21</v>
      </c>
      <c r="J36" s="3"/>
      <c r="K36" s="5" t="s">
        <v>40</v>
      </c>
      <c r="L36" s="3" t="str">
        <f t="shared" si="12"/>
        <v>cable_roundup_resolution</v>
      </c>
      <c r="M36" s="4" t="s">
        <v>18</v>
      </c>
      <c r="N36" s="3" t="s">
        <v>19</v>
      </c>
      <c r="O36" s="3" t="str">
        <f t="shared" si="13"/>
        <v>cable_roundup_resolution</v>
      </c>
      <c r="P36" s="3" t="s">
        <v>20</v>
      </c>
    </row>
    <row r="37" spans="5:16" x14ac:dyDescent="0.25">
      <c r="E37" s="5" t="s">
        <v>40</v>
      </c>
      <c r="F37" s="3" t="s">
        <v>15</v>
      </c>
      <c r="G37" s="3" t="s">
        <v>35</v>
      </c>
      <c r="H37" s="3" t="s">
        <v>16</v>
      </c>
      <c r="I37" s="3" t="s">
        <v>17</v>
      </c>
      <c r="J37" s="3"/>
      <c r="K37" s="5" t="s">
        <v>40</v>
      </c>
      <c r="L37" s="3" t="str">
        <f t="shared" si="12"/>
        <v>rs485_cable_order_method</v>
      </c>
      <c r="M37" s="4" t="s">
        <v>18</v>
      </c>
      <c r="N37" s="3" t="s">
        <v>19</v>
      </c>
      <c r="O37" s="3" t="str">
        <f t="shared" si="13"/>
        <v>rs485_cable_order_method</v>
      </c>
      <c r="P37" s="3" t="s">
        <v>20</v>
      </c>
    </row>
    <row r="38" spans="5:16" x14ac:dyDescent="0.25">
      <c r="E38" s="5" t="s">
        <v>40</v>
      </c>
      <c r="F38" s="3" t="s">
        <v>15</v>
      </c>
      <c r="G38" s="3" t="s">
        <v>36</v>
      </c>
      <c r="H38" s="3" t="s">
        <v>16</v>
      </c>
      <c r="I38" s="3" t="s">
        <v>17</v>
      </c>
      <c r="J38" s="3"/>
      <c r="K38" s="5" t="s">
        <v>40</v>
      </c>
      <c r="L38" s="3" t="str">
        <f t="shared" si="12"/>
        <v>dali_cable_order_method</v>
      </c>
      <c r="M38" s="4" t="s">
        <v>18</v>
      </c>
      <c r="N38" s="3" t="s">
        <v>19</v>
      </c>
      <c r="O38" s="3" t="str">
        <f t="shared" si="13"/>
        <v>dali_cable_order_method</v>
      </c>
      <c r="P38" s="3" t="s">
        <v>20</v>
      </c>
    </row>
    <row r="39" spans="5:16" x14ac:dyDescent="0.25">
      <c r="E39" s="5" t="s">
        <v>40</v>
      </c>
      <c r="F39" s="3" t="s">
        <v>15</v>
      </c>
      <c r="G39" s="3" t="s">
        <v>37</v>
      </c>
      <c r="H39" s="3" t="s">
        <v>16</v>
      </c>
      <c r="I39" s="3" t="s">
        <v>22</v>
      </c>
      <c r="J39" s="3"/>
      <c r="K39" s="5" t="s">
        <v>40</v>
      </c>
      <c r="L39" s="3" t="str">
        <f t="shared" si="12"/>
        <v>MCU_DGG_rs485_network_in_use</v>
      </c>
      <c r="M39" s="4" t="s">
        <v>18</v>
      </c>
      <c r="N39" s="3" t="s">
        <v>19</v>
      </c>
      <c r="O39" s="3" t="str">
        <f t="shared" si="13"/>
        <v>MCU_DGG_rs485_network_in_use</v>
      </c>
      <c r="P39" s="3" t="s">
        <v>20</v>
      </c>
    </row>
    <row r="40" spans="5:16" x14ac:dyDescent="0.25">
      <c r="F40" s="3"/>
      <c r="G40" s="3"/>
      <c r="H40" s="3"/>
      <c r="I40" s="3"/>
      <c r="J40" s="3"/>
      <c r="K40" s="3"/>
      <c r="L40" s="3" t="s">
        <v>38</v>
      </c>
      <c r="M40" s="3"/>
      <c r="N40" s="3"/>
      <c r="O40" s="3"/>
      <c r="P4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Layout</vt:lpstr>
      <vt:lpstr>Configuration</vt:lpstr>
      <vt:lpstr>Ref</vt:lpstr>
      <vt:lpstr>Area_per_Room</vt:lpstr>
      <vt:lpstr>Average_Number_of_Room_per_Floor</vt:lpstr>
      <vt:lpstr>DipSwitch_per_Room</vt:lpstr>
      <vt:lpstr>DipSwith_Starting_number</vt:lpstr>
      <vt:lpstr>Do_Not_Show_Welcome_Info</vt:lpstr>
      <vt:lpstr>Floor_Offset_Difference</vt:lpstr>
      <vt:lpstr>Floor_Template</vt:lpstr>
      <vt:lpstr>Max_Area_Number_per_Building</vt:lpstr>
      <vt:lpstr>Max_Room_Number_per_Floor</vt:lpstr>
      <vt:lpstr>Number_of_Floor</vt:lpstr>
      <vt:lpstr>Required_Biggest_Area_Number</vt:lpstr>
      <vt:lpstr>Room_Starting_Number</vt:lpstr>
      <vt:lpstr>Room_Template</vt:lpstr>
    </vt:vector>
  </TitlesOfParts>
  <Company>Philips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Philips</dc:creator>
  <cp:lastModifiedBy>Gabriel 12-Oct-2016</cp:lastModifiedBy>
  <cp:lastPrinted>2016-10-12T06:10:56Z</cp:lastPrinted>
  <dcterms:created xsi:type="dcterms:W3CDTF">2016-09-01T04:34:20Z</dcterms:created>
  <dcterms:modified xsi:type="dcterms:W3CDTF">2016-10-14T08:42:47Z</dcterms:modified>
</cp:coreProperties>
</file>